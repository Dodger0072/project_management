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73bde134a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спертные оценки TOPSIS" sheetId="1" r:id="Rc23f332759b643dd"/>
    <x:sheet xmlns:r="http://schemas.openxmlformats.org/officeDocument/2006/relationships" name="Расчёт TOPSIS" sheetId="2" r:id="R878b21d866054b7f"/>
    <x:sheet xmlns:r="http://schemas.openxmlformats.org/officeDocument/2006/relationships" name="Результат" sheetId="3" r:id="R48a8e3a26bd245dd"/>
    <x:sheet xmlns:r="http://schemas.openxmlformats.org/officeDocument/2006/relationships" name="Расчёт МАИ" sheetId="4" r:id="R40156abae9dc47a2"/>
  </x:sheets>
</x:workbook>
</file>

<file path=xl/sharedStrings.xml><?xml version="1.0" encoding="utf-8"?>
<x:sst xmlns:x="http://schemas.openxmlformats.org/spreadsheetml/2006/main">
  <x:si>
    <x:t xml:space="preserve">Экспертные оценки для нечёткого коллективного TOPSIS</x:t>
  </x:si>
  <x:si>
    <x:t xml:space="preserve">Формат оценки: (П; Ож; Опт), где П — пессимистичная, Ож — ожидаемая, Опт — оптимистичная. Шкала 1–10, чем больше — тем лучше.</x:t>
  </x:si>
  <x:si>
    <x:t xml:space="preserve">1. Важность критериев</x:t>
  </x:si>
  <x:si>
    <x:t xml:space="preserve">Код</x:t>
  </x:si>
  <x:si>
    <x:t xml:space="preserve">Критерий</x:t>
  </x:si>
  <x:si>
    <x:t xml:space="preserve">Артём</x:t>
  </x:si>
  <x:si>
    <x:t xml:space="preserve">Никита</x:t>
  </x:si>
  <x:si>
    <x:t xml:space="preserve">Максим</x:t>
  </x:si>
  <x:si>
    <x:t xml:space="preserve">Паша</x:t>
  </x:si>
  <x:si>
    <x:t xml:space="preserve">C1</x:t>
  </x:si>
  <x:si>
    <x:t xml:space="preserve">Простота реализации MVP</x:t>
  </x:si>
  <x:si>
    <x:t xml:space="preserve">(8; 9; 10)</x:t>
  </x:si>
  <x:si>
    <x:t xml:space="preserve">(7; 8; 9)</x:t>
  </x:si>
  <x:si>
    <x:t xml:space="preserve">C2</x:t>
  </x:si>
  <x:si>
    <x:t xml:space="preserve">Потенциальная востребованность</x:t>
  </x:si>
  <x:si>
    <x:t xml:space="preserve">(9; 10; 10)</x:t>
  </x:si>
  <x:si>
    <x:t xml:space="preserve">(6; 7; 8)</x:t>
  </x:si>
  <x:si>
    <x:t xml:space="preserve">C3</x:t>
  </x:si>
  <x:si>
    <x:t xml:space="preserve">Понятность предметной области</x:t>
  </x:si>
  <x:si>
    <x:t xml:space="preserve">C4</x:t>
  </x:si>
  <x:si>
    <x:t xml:space="preserve">Разнообразие пользовательских сценариев</x:t>
  </x:si>
  <x:si>
    <x:t xml:space="preserve">C5</x:t>
  </x:si>
  <x:si>
    <x:t xml:space="preserve">Независимость от внешних интеграций</x:t>
  </x:si>
  <x:si>
    <x:t xml:space="preserve">C6</x:t>
  </x:si>
  <x:si>
    <x:t xml:space="preserve">Удобство функциональной оценки</x:t>
  </x:si>
  <x:si>
    <x:t xml:space="preserve">C7</x:t>
  </x:si>
  <x:si>
    <x:t xml:space="preserve">Наглядность MVP</x:t>
  </x:si>
  <x:si>
    <x:t xml:space="preserve">2. Оценки концепций — Артём</x:t>
  </x:si>
  <x:si>
    <x:t xml:space="preserve">Концепция</x:t>
  </x:si>
  <x:si>
    <x:t xml:space="preserve">BudgetMate</x:t>
  </x:si>
  <x:si>
    <x:t xml:space="preserve">(5; 6; 7)</x:t>
  </x:si>
  <x:si>
    <x:t xml:space="preserve">WeatherWardrobe</x:t>
  </x:si>
  <x:si>
    <x:t xml:space="preserve">(3; 4; 5)</x:t>
  </x:si>
  <x:si>
    <x:t xml:space="preserve">(2; 3; 4)</x:t>
  </x:si>
  <x:si>
    <x:t xml:space="preserve">NoteShare</x:t>
  </x:si>
  <x:si>
    <x:t xml:space="preserve">QueueLess</x:t>
  </x:si>
  <x:si>
    <x:t xml:space="preserve">RepairDesk</x:t>
  </x:si>
  <x:si>
    <x:t xml:space="preserve">SkillSwap</x:t>
  </x:si>
  <x:si>
    <x:t xml:space="preserve">2. Оценки концепций — Никита</x:t>
  </x:si>
  <x:si>
    <x:t xml:space="preserve">(7; 8; 10)</x:t>
  </x:si>
  <x:si>
    <x:t xml:space="preserve">(4; 5; 6)</x:t>
  </x:si>
  <x:si>
    <x:t xml:space="preserve">(1; 2; 3)</x:t>
  </x:si>
  <x:si>
    <x:t xml:space="preserve">2. Оценки концепций — Максим</x:t>
  </x:si>
  <x:si>
    <x:t xml:space="preserve">(8;9;10)</x:t>
  </x:si>
  <x:si>
    <x:t xml:space="preserve">(7;8;9)</x:t>
  </x:si>
  <x:si>
    <x:t xml:space="preserve">(9;10;10)</x:t>
  </x:si>
  <x:si>
    <x:t xml:space="preserve">(5;6;7)</x:t>
  </x:si>
  <x:si>
    <x:t xml:space="preserve">(3;4;5)</x:t>
  </x:si>
  <x:si>
    <x:t xml:space="preserve">(6;7;8)</x:t>
  </x:si>
  <x:si>
    <x:t xml:space="preserve">2. Оценки концепций — Паша</x:t>
  </x:si>
  <x:si>
    <x:t xml:space="preserve">Расчёт нечёткого коллективного TOPSIS</x:t>
  </x:si>
  <x:si>
    <x:t xml:space="preserve">Все 7 критериев трактуются как критерии выгоды (max). Коллективные оценки получены покомпонентным усреднением оценок 4 экспертов.</x:t>
  </x:si>
  <x:si>
    <x:t xml:space="preserve">1. Агрегированные веса критериев</x:t>
  </x:si>
  <x:si>
    <x:t xml:space="preserve">Колл. П</x:t>
  </x:si>
  <x:si>
    <x:t xml:space="preserve">Колл. Ож</x:t>
  </x:si>
  <x:si>
    <x:t xml:space="preserve">Колл. Опт</x:t>
  </x:si>
  <x:si>
    <x:t xml:space="preserve">Вес П</x:t>
  </x:si>
  <x:si>
    <x:t xml:space="preserve">Вес Ож</x:t>
  </x:si>
  <x:si>
    <x:t xml:space="preserve">Вес Опт</x:t>
  </x:si>
  <x:si>
    <x:t xml:space="preserve">2. Агрегированная матрица альтернатив</x:t>
  </x:si>
  <x:si>
    <x:t xml:space="preserve">C1 П</x:t>
  </x:si>
  <x:si>
    <x:t xml:space="preserve">C1 Ож</x:t>
  </x:si>
  <x:si>
    <x:t xml:space="preserve">C1 Опт</x:t>
  </x:si>
  <x:si>
    <x:t xml:space="preserve">C2 П</x:t>
  </x:si>
  <x:si>
    <x:t xml:space="preserve">C2 Ож</x:t>
  </x:si>
  <x:si>
    <x:t xml:space="preserve">C2 Опт</x:t>
  </x:si>
  <x:si>
    <x:t xml:space="preserve">C3 П</x:t>
  </x:si>
  <x:si>
    <x:t xml:space="preserve">C3 Ож</x:t>
  </x:si>
  <x:si>
    <x:t xml:space="preserve">C3 Опт</x:t>
  </x:si>
  <x:si>
    <x:t xml:space="preserve">C4 П</x:t>
  </x:si>
  <x:si>
    <x:t xml:space="preserve">C4 Ож</x:t>
  </x:si>
  <x:si>
    <x:t xml:space="preserve">C4 Опт</x:t>
  </x:si>
  <x:si>
    <x:t xml:space="preserve">C5 П</x:t>
  </x:si>
  <x:si>
    <x:t xml:space="preserve">C5 Ож</x:t>
  </x:si>
  <x:si>
    <x:t xml:space="preserve">C5 Опт</x:t>
  </x:si>
  <x:si>
    <x:t xml:space="preserve">C6 П</x:t>
  </x:si>
  <x:si>
    <x:t xml:space="preserve">C6 Ож</x:t>
  </x:si>
  <x:si>
    <x:t xml:space="preserve">C6 Опт</x:t>
  </x:si>
  <x:si>
    <x:t xml:space="preserve">C7 П</x:t>
  </x:si>
  <x:si>
    <x:t xml:space="preserve">C7 Ож</x:t>
  </x:si>
  <x:si>
    <x:t xml:space="preserve">C7 Опт</x:t>
  </x:si>
  <x:si>
    <x:t xml:space="preserve">3. Нормализованная матрица</x:t>
  </x:si>
  <x:si>
    <x:t xml:space="preserve">4. Взвешенная нормализованная матрица</x:t>
  </x:si>
  <x:si>
    <x:t xml:space="preserve">5. Идеальное и антиидеальное решения</x:t>
  </x:si>
  <x:si>
    <x:t xml:space="preserve">FPIS П</x:t>
  </x:si>
  <x:si>
    <x:t xml:space="preserve">FPIS Ож</x:t>
  </x:si>
  <x:si>
    <x:t xml:space="preserve">FPIS Опт</x:t>
  </x:si>
  <x:si>
    <x:t xml:space="preserve">FNIS П</x:t>
  </x:si>
  <x:si>
    <x:t xml:space="preserve">FNIS Ож</x:t>
  </x:si>
  <x:si>
    <x:t xml:space="preserve">FNIS Опт</x:t>
  </x:si>
  <x:si>
    <x:t xml:space="preserve">6. Расстояния до идеалов и коэффициент близости</x:t>
  </x:si>
  <x:si>
    <x:t xml:space="preserve">D+</x:t>
  </x:si>
  <x:si>
    <x:t xml:space="preserve">D-</x:t>
  </x:si>
  <x:si>
    <x:t xml:space="preserve">CC</x:t>
  </x:si>
  <x:si>
    <x:t xml:space="preserve">Место</x:t>
  </x:si>
  <x:si>
    <x:t xml:space="preserve">d+ C1</x:t>
  </x:si>
  <x:si>
    <x:t xml:space="preserve">d+ C2</x:t>
  </x:si>
  <x:si>
    <x:t xml:space="preserve">d+ C3</x:t>
  </x:si>
  <x:si>
    <x:t xml:space="preserve">d+ C4</x:t>
  </x:si>
  <x:si>
    <x:t xml:space="preserve">d+ C5</x:t>
  </x:si>
  <x:si>
    <x:t xml:space="preserve">d+ C6</x:t>
  </x:si>
  <x:si>
    <x:t xml:space="preserve">d+ C7</x:t>
  </x:si>
  <x:si>
    <x:t xml:space="preserve">d- C1</x:t>
  </x:si>
  <x:si>
    <x:t xml:space="preserve">d- C2</x:t>
  </x:si>
  <x:si>
    <x:t xml:space="preserve">d- C3</x:t>
  </x:si>
  <x:si>
    <x:t xml:space="preserve">d- C4</x:t>
  </x:si>
  <x:si>
    <x:t xml:space="preserve">d- C5</x:t>
  </x:si>
  <x:si>
    <x:t xml:space="preserve">d- C6</x:t>
  </x:si>
  <x:si>
    <x:t xml:space="preserve">d- C7</x:t>
  </x:si>
  <x:si>
    <x:t xml:space="preserve">Сравнение результатов TOPSIS и МАИ</x:t>
  </x:si>
  <x:si>
    <x:t xml:space="preserve">Место TOPSIS</x:t>
  </x:si>
  <x:si>
    <x:t xml:space="preserve">Вывод TOPSIS</x:t>
  </x:si>
  <x:si>
    <x:t xml:space="preserve">Приоритет МАИ</x:t>
  </x:si>
  <x:si>
    <x:t xml:space="preserve">Место МАИ</x:t>
  </x:si>
  <x:si>
    <x:t xml:space="preserve">Лучший вариант</x:t>
  </x:si>
  <x:si>
    <x:t xml:space="preserve">Шкала Саати</x:t>
  </x:si>
  <x:si>
    <x:t xml:space="preserve">Значение</x:t>
  </x:si>
  <x:si>
    <x:t xml:space="preserve">Интенсивность</x:t>
  </x:si>
  <x:si>
    <x:t xml:space="preserve">Смысл</x:t>
  </x:si>
  <x:si>
    <x:t xml:space="preserve">Равная</x:t>
  </x:si>
  <x:si>
    <x:t xml:space="preserve">Одинаковая важность</x:t>
  </x:si>
  <x:si>
    <x:t xml:space="preserve">Умеренная</x:t>
  </x:si>
  <x:si>
    <x:t xml:space="preserve">Первый объект немного важнее второго</x:t>
  </x:si>
  <x:si>
    <x:t xml:space="preserve">Сильная</x:t>
  </x:si>
  <x:si>
    <x:t xml:space="preserve">Первый объект заметно важнее второго</x:t>
  </x:si>
  <x:si>
    <x:t xml:space="preserve">Очень сильная</x:t>
  </x:si>
  <x:si>
    <x:t xml:space="preserve">Первый объект значительно важнее второго</x:t>
  </x:si>
  <x:si>
    <x:t xml:space="preserve">Абсолютная</x:t>
  </x:si>
  <x:si>
    <x:t xml:space="preserve">Первый объект существенно превосходит второй</x:t>
  </x:si>
  <x:si>
    <x:t xml:space="preserve">2,4,6,8</x:t>
  </x:si>
  <x:si>
    <x:t xml:space="preserve">Промежуточная</x:t>
  </x:si>
  <x:si>
    <x:t xml:space="preserve">Промежуточные степени предпочтения</x:t>
  </x:si>
  <x:si>
    <x:t xml:space="preserve">1/3, 1/5…</x:t>
  </x:si>
  <x:si>
    <x:t xml:space="preserve">Обратная</x:t>
  </x:si>
  <x:si>
    <x:t xml:space="preserve">Если второй объект важнее первого</x:t>
  </x:si>
  <x:si>
    <x:t xml:space="preserve">2. Коллективная матрица критериев</x:t>
  </x:si>
  <x:si>
    <x:t xml:space="preserve">№</x:t>
  </x:si>
  <x:si>
    <x:t xml:space="preserve">Критерий 1</x:t>
  </x:si>
  <x:si>
    <x:t xml:space="preserve">Критерий 2</x:t>
  </x:si>
  <x:si>
    <x:t xml:space="preserve">Геом. среднее</x:t>
  </x:si>
  <x:si>
    <x:t xml:space="preserve">Вес</x:t>
  </x:si>
  <x:si>
    <x:t xml:space="preserve">A·w</x:t>
  </x:si>
  <x:si>
    <x:t xml:space="preserve">λi</x:t>
  </x:si>
  <x:si>
    <x:t xml:space="preserve">λmax</x:t>
  </x:si>
  <x:si>
    <x:t xml:space="preserve">CI</x:t>
  </x:si>
  <x:si>
    <x:t xml:space="preserve">RI</x:t>
  </x:si>
  <x:si>
    <x:t xml:space="preserve">CR</x:t>
  </x:si>
  <x:si>
    <x:t xml:space="preserve">Согласованность</x:t>
  </x:si>
  <x:si>
    <x:t xml:space="preserve">3.1. Попарные сравнения альтернатив по C1 — Простота реализации MVP</x:t>
  </x:si>
  <x:si>
    <x:t xml:space="preserve">Коллективная матрица альтернатив по C1</x:t>
  </x:si>
  <x:si>
    <x:t xml:space="preserve">Альтернатива 1</x:t>
  </x:si>
  <x:si>
    <x:t xml:space="preserve">Альтернатива 2</x:t>
  </x:si>
  <x:si>
    <x:t xml:space="preserve">Локальный вес</x:t>
  </x:si>
  <x:si>
    <x:t xml:space="preserve">3.2. Попарные сравнения альтернатив по C2 — Потенциальная востребованность</x:t>
  </x:si>
  <x:si>
    <x:t xml:space="preserve">Коллективная матрица альтернатив по C2</x:t>
  </x:si>
  <x:si>
    <x:t xml:space="preserve">3.3. Попарные сравнения альтернатив по C3 — Понятность предметной области</x:t>
  </x:si>
  <x:si>
    <x:t xml:space="preserve">Коллективная матрица альтернатив по C3</x:t>
  </x:si>
  <x:si>
    <x:t xml:space="preserve">3.4. Попарные сравнения альтернатив по C4 — Разнообразие пользовательских сценариев</x:t>
  </x:si>
  <x:si>
    <x:t xml:space="preserve">Коллективная матрица альтернатив по C4</x:t>
  </x:si>
  <x:si>
    <x:t xml:space="preserve">3.5. Попарные сравнения альтернатив по C5 — Независимость от внешних интеграций</x:t>
  </x:si>
  <x:si>
    <x:t xml:space="preserve">Коллективная матрица альтернатив по C5</x:t>
  </x:si>
  <x:si>
    <x:t xml:space="preserve">3.6. Попарные сравнения альтернатив по C6 — Удобство функциональной оценки</x:t>
  </x:si>
  <x:si>
    <x:t xml:space="preserve">Коллективная матрица альтернатив по C6</x:t>
  </x:si>
  <x:si>
    <x:t xml:space="preserve">3.7. Попарные сравнения альтернатив по C7 — Наглядность MVP</x:t>
  </x:si>
  <x:si>
    <x:t xml:space="preserve">Коллективная матрица альтернатив по C7</x:t>
  </x:si>
  <x:si>
    <x:t xml:space="preserve">4. Итоговые приоритеты МАИ</x:t>
  </x:si>
  <x:si>
    <x:t xml:space="preserve">Глобальный приоритет</x:t>
  </x:si>
  <x:si>
    <x:t xml:space="preserve">Статус</x:t>
  </x:si>
  <x:si>
    <x:t xml:space="preserve">5. Проверка согласованности</x:t>
  </x:si>
  <x:si>
    <x:t xml:space="preserve">Матрица</x:t>
  </x:si>
  <x:si>
    <x:t xml:space="preserve">Норма</x:t>
  </x:si>
  <x:si>
    <x:t xml:space="preserve">Критерии</x:t>
  </x:si>
  <x:si>
    <x:t xml:space="preserve">≤ 0,10</x:t>
  </x:si>
  <x:si>
    <x:t xml:space="preserve">Альтернативы по C1</x:t>
  </x:si>
  <x:si>
    <x:t xml:space="preserve">Альтернативы по C2</x:t>
  </x:si>
  <x:si>
    <x:t xml:space="preserve">Альтернативы по C3</x:t>
  </x:si>
  <x:si>
    <x:t xml:space="preserve">Альтернативы по C4</x:t>
  </x:si>
  <x:si>
    <x:t xml:space="preserve">Альтернативы по C5</x:t>
  </x:si>
  <x:si>
    <x:t xml:space="preserve">Альтернативы по C6</x:t>
  </x:si>
  <x:si>
    <x:t xml:space="preserve">Альтернативы по C7</x:t>
  </x:si>
</x:sst>
</file>

<file path=xl/styles.xml><?xml version="1.0" encoding="utf-8"?>
<x:styleSheet xmlns:x="http://schemas.openxmlformats.org/spreadsheetml/2006/main">
  <x:numFmts count="2">
    <x:numFmt numFmtId="164" formatCode="0.000"/>
    <x:numFmt numFmtId="165" formatCode="0.0000"/>
  </x:numFmts>
  <x:fonts count="8">
    <x:font>
      <x:sz val="11"/>
      <x:color rgb="FF000000"/>
      <x:name val="Carlito"/>
    </x:font>
    <x:font>
      <x:b/>
      <x:sz val="14"/>
      <x:color rgb="FFFFFFFF"/>
      <x:name val="Carlito"/>
    </x:font>
    <x:font/>
    <x:font>
      <x:b/>
      <x:sz val="11"/>
      <x:color rgb="FF1F1F1F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1"/>
      <x:color theme="1"/>
      <x:name val="Carlito"/>
    </x:font>
  </x:fonts>
  <x:fills count="9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theme="0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2">
    <x:border/>
    <x:border/>
    <x:border/>
    <x:border/>
    <x:border/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/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BFBFBF"/>
      </x:left>
      <x:right style="thin">
        <x:color rgb="FFBFBFBF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 applyFont="1" applyAlignment="1"/>
  </x:cellStyleXfs>
  <x:cellXfs count="5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1" xfId="0" applyFont="1" applyFill="1" applyBorder="1" applyAlignment="1">
      <x:alignment vertical="center" wrapText="1"/>
    </x:xf>
    <x:xf numFmtId="0" fontId="3" fillId="3" borderId="4" xfId="0" applyFont="1" applyFill="1" applyBorder="1" applyAlignment="1">
      <x:alignment vertical="center" wrapText="1"/>
    </x:xf>
    <x:xf numFmtId="0" fontId="2" fillId="0" borderId="5" xfId="0" applyFont="1" applyBorder="1"/>
    <x:xf numFmtId="0" fontId="2" fillId="0" borderId="6" xfId="0" applyFont="1" applyBorder="1"/>
    <x:xf numFmtId="0" fontId="4" fillId="4" borderId="7" xfId="0" applyFont="1" applyFill="1" applyBorder="1" applyAlignment="1">
      <x:alignment horizontal="center" vertical="center" wrapText="1"/>
    </x:xf>
    <x:xf numFmtId="0" fontId="5" fillId="0" borderId="7" xfId="0" applyFont="1" applyBorder="1" applyAlignment="1">
      <x:alignment vertical="center" wrapText="1"/>
    </x:xf>
    <x:xf numFmtId="0" fontId="5" fillId="5" borderId="7" xfId="0" applyFont="1" applyFill="1" applyBorder="1" applyAlignment="1">
      <x:alignment vertical="center" wrapText="1"/>
    </x:xf>
    <x:xf numFmtId="0" fontId="5" fillId="5" borderId="7" xfId="0" applyFont="1" applyFill="1" applyBorder="1" applyAlignment="1">
      <x:alignment vertical="center" wrapText="1"/>
    </x:xf>
    <x:xf numFmtId="4" fontId="6" fillId="0" borderId="0" xfId="0" applyNumberFormat="1" applyFont="1"/>
    <x:xf numFmtId="0" fontId="7" fillId="6" borderId="1" xfId="0" applyFont="1" applyFill="1" applyBorder="1" applyAlignment="1">
      <x:alignment horizontal="center" vertical="center"/>
    </x:xf>
    <x:xf numFmtId="0" fontId="5" fillId="6" borderId="8" xfId="0" applyFont="1" applyFill="1" applyBorder="1"/>
    <x:xf numFmtId="0" fontId="5" fillId="0" borderId="0" xfId="0" applyFont="1" applyAlignment="1">
      <x:alignment vertical="center" wrapText="1"/>
    </x:xf>
    <x:xf numFmtId="0" fontId="5" fillId="7" borderId="7" xfId="0" applyFont="1" applyFill="1" applyBorder="1"/>
    <x:xf numFmtId="0" fontId="5" fillId="0" borderId="9" xfId="0" applyFont="1" applyBorder="1" applyAlignment="1">
      <x:alignment vertical="center" wrapText="1"/>
    </x:xf>
    <x:xf numFmtId="164" fontId="5" fillId="7" borderId="7" xfId="0" applyNumberFormat="1" applyFont="1" applyFill="1" applyBorder="1" applyAlignment="1">
      <x:alignment vertical="center" wrapText="1"/>
    </x:xf>
    <x:xf numFmtId="0" fontId="2" fillId="0" borderId="10" xfId="0" applyFont="1" applyBorder="1"/>
    <x:xf numFmtId="0" fontId="2" fillId="0" borderId="11" xfId="0" applyFont="1" applyBorder="1"/>
    <x:xf numFmtId="0" fontId="7" fillId="6" borderId="12" xfId="0" applyFont="1" applyFill="1" applyBorder="1" applyAlignment="1">
      <x:alignment vertical="center" wrapText="1"/>
    </x:xf>
    <x:xf numFmtId="0" fontId="2" fillId="0" borderId="13" xfId="0" applyFont="1" applyBorder="1"/>
    <x:xf numFmtId="0" fontId="2" fillId="0" borderId="14" xfId="0" applyFont="1" applyBorder="1"/>
    <x:xf numFmtId="4" fontId="4" fillId="4" borderId="7" xfId="0" applyNumberFormat="1" applyFont="1" applyFill="1" applyBorder="1" applyAlignment="1">
      <x:alignment horizontal="center" vertical="center" wrapText="1"/>
    </x:xf>
    <x:xf numFmtId="0" fontId="5" fillId="5" borderId="7" xfId="0" applyFont="1" applyFill="1" applyBorder="1" applyAlignment="1">
      <x:alignment horizontal="center" vertical="center" wrapText="1"/>
    </x:xf>
    <x:xf numFmtId="0" fontId="5" fillId="7" borderId="7" xfId="0" applyFont="1" applyFill="1" applyBorder="1" applyAlignment="1">
      <x:alignment horizontal="center" vertical="center" wrapText="1"/>
    </x:xf>
    <x:xf numFmtId="4" fontId="5" fillId="7" borderId="7" xfId="0" applyNumberFormat="1" applyFont="1" applyFill="1" applyBorder="1" applyAlignment="1">
      <x:alignment horizontal="center" vertical="center" wrapText="1"/>
    </x:xf>
    <x:xf numFmtId="164" fontId="5" fillId="8" borderId="7" xfId="0" applyNumberFormat="1" applyFont="1" applyFill="1" applyBorder="1" applyAlignment="1">
      <x:alignment horizontal="center" vertical="center" wrapText="1"/>
    </x:xf>
    <x:xf numFmtId="165" fontId="5" fillId="8" borderId="7" xfId="0" applyNumberFormat="1" applyFont="1" applyFill="1" applyBorder="1" applyAlignment="1">
      <x:alignment horizontal="center" vertical="center" wrapText="1"/>
    </x:xf>
    <x:xf numFmtId="0" fontId="5" fillId="7" borderId="7" xfId="0" applyFont="1" applyFill="1" applyBorder="1" applyAlignment="1">
      <x:alignment horizontal="center" vertical="center" wrapText="1"/>
    </x:xf>
    <x:xf numFmtId="4" fontId="5" fillId="7" borderId="7" xfId="0" applyNumberFormat="1" applyFont="1" applyFill="1" applyBorder="1" applyAlignment="1">
      <x:alignment horizontal="center" vertical="center" wrapText="1"/>
    </x:xf>
    <x:xf numFmtId="0" fontId="1" fillId="2" borderId="15" xfId="0" applyFont="1" applyFill="1" applyBorder="1" applyAlignment="1">
      <x:alignment horizontal="center" vertical="center"/>
    </x:xf>
    <x:xf numFmtId="165" fontId="5" fillId="5" borderId="7" xfId="0" applyNumberFormat="1" applyFont="1" applyFill="1" applyBorder="1" applyAlignment="1">
      <x:alignment vertical="center" wrapText="1"/>
    </x:xf>
    <x:xf numFmtId="0" fontId="5" fillId="8" borderId="7" xfId="0" applyFont="1" applyFill="1" applyBorder="1" applyAlignment="1">
      <x:alignment horizontal="center" vertical="center" wrapText="1"/>
    </x:xf>
    <x:xf numFmtId="0" fontId="4" fillId="4" borderId="16" xfId="0" applyFont="1" applyFill="1" applyBorder="1" applyAlignment="1">
      <x:alignment horizontal="center" vertical="center" wrapText="1"/>
    </x:xf>
    <x:xf numFmtId="165" fontId="5" fillId="8" borderId="17" xfId="0" applyNumberFormat="1" applyFont="1" applyFill="1" applyBorder="1" applyAlignment="1">
      <x:alignment horizontal="center" vertical="center" wrapText="1"/>
    </x:xf>
    <x:xf numFmtId="0" fontId="4" fillId="4" borderId="18" xfId="0" applyFont="1" applyFill="1" applyBorder="1" applyAlignment="1">
      <x:alignment horizontal="center" vertical="center" wrapText="1"/>
    </x:xf>
    <x:xf numFmtId="165" fontId="5" fillId="8" borderId="19" xfId="0" applyNumberFormat="1" applyFont="1" applyFill="1" applyBorder="1" applyAlignment="1">
      <x:alignment horizontal="center" vertical="center" wrapText="1"/>
    </x:xf>
    <x:xf numFmtId="0" fontId="4" fillId="4" borderId="20" xfId="0" applyFont="1" applyFill="1" applyBorder="1" applyAlignment="1">
      <x:alignment horizontal="center" vertical="center" wrapText="1"/>
    </x:xf>
    <x:xf numFmtId="0" fontId="5" fillId="8" borderId="21" xfId="0" applyFont="1" applyFill="1" applyBorder="1" applyAlignment="1">
      <x:alignment horizontal="center" vertical="center" wrapText="1"/>
    </x:xf>
    <x:xf numFmtId="2" fontId="5" fillId="7" borderId="7" xfId="0" applyNumberFormat="1" applyFont="1" applyFill="1" applyBorder="1" applyAlignment="1">
      <x:alignment horizontal="center" vertical="center" wrapText="1"/>
    </x:xf>
    <x:xf numFmtId="0" fontId="2" fillId="0" borderId="12" xfId="0" applyFont="1" applyBorder="1"/>
    <x:xf numFmtId="1" fontId="5" fillId="7" borderId="7" xfId="0" applyNumberFormat="1" applyFont="1" applyFill="1" applyBorder="1" applyAlignment="1">
      <x:alignment horizontal="center" vertical="center" wrapText="1"/>
    </x:xf>
    <x:xf numFmtId="1" fontId="5" fillId="7" borderId="7" xfId="0" applyNumberFormat="1" applyFont="1" applyFill="1" applyBorder="1" applyAlignment="1">
      <x:alignment horizontal="center" vertical="center" wrapText="1"/>
    </x:xf>
    <x:xf numFmtId="2" fontId="5" fillId="7" borderId="7" xfId="0" applyNumberFormat="1" applyFont="1" applyFill="1" applyBorder="1" applyAlignment="1">
      <x:alignment horizontal="center" vertical="center" wrapText="1"/>
    </x:xf>
    <x:xf numFmtId="1" fontId="5" fillId="5" borderId="7" xfId="0" applyNumberFormat="1" applyFont="1" applyFill="1" applyBorder="1" applyAlignment="1">
      <x:alignment vertical="center" wrapText="1"/>
    </x:xf>
    <x:xf numFmtId="0" fontId="5" fillId="8" borderId="7" xfId="0" applyFont="1" applyFill="1" applyBorder="1" applyAlignment="1">
      <x:alignment vertical="center" wrapText="1"/>
    </x:xf>
    <x:xf numFmtId="165" fontId="5" fillId="7" borderId="7" xfId="0" applyNumberFormat="1" applyFont="1" applyFill="1" applyBorder="1" applyAlignment="1">
      <x:alignment horizontal="center" vertical="center" wrapText="1"/>
    </x:xf>
    <x:xf numFmtId="4" fontId="5" fillId="8" borderId="7" xfId="0" applyNumberFormat="1" applyFont="1" applyFill="1" applyBorder="1" applyAlignment="1">
      <x:alignment horizontal="center" vertical="center" wrapText="1"/>
    </x:xf>
    <x:xf numFmtId="165" fontId="5" fillId="0" borderId="7" xfId="0" applyNumberFormat="1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c6855abbe4c05" /><Relationship Type="http://schemas.openxmlformats.org/officeDocument/2006/relationships/theme" Target="/xl/theme/theme1.xml" Id="R22db2144287c4c01" /><Relationship Type="http://schemas.openxmlformats.org/officeDocument/2006/relationships/sharedStrings" Target="/xl/sharedStrings.xml" Id="Rd309501c65074a73" /><Relationship Type="http://schemas.openxmlformats.org/officeDocument/2006/relationships/worksheet" Target="/xl/worksheets/sheet1.xml" Id="Rc23f332759b643dd" /><Relationship Type="http://schemas.openxmlformats.org/officeDocument/2006/relationships/worksheet" Target="/xl/worksheets/sheet2.xml" Id="R878b21d866054b7f" /><Relationship Type="http://schemas.openxmlformats.org/officeDocument/2006/relationships/worksheet" Target="/xl/worksheets/sheet3.xml" Id="R48a8e3a26bd245dd" /><Relationship Type="http://schemas.openxmlformats.org/officeDocument/2006/relationships/worksheet" Target="/xl/worksheets/sheet4.xml" Id="R40156abae9dc47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02808e993c4a58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varyColors val="0"/>
        <c:ser>
          <c:idx val="0"/>
          <c:order val="0"/>
          <c:tx>
            <c:v>CC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'Результат'!$E$5:$E$10</c:f>
              <c:numCache>
                <c:formatCode>General</c:formatCode>
                <c:ptCount val="0"/>
              </c:numCache>
            </c:numRef>
          </c:val>
        </c:ser>
        <c:axId val="129953255"/>
        <c:axId val="795804985"/>
      </c:barChart>
      <c:catAx>
        <c:axId val="129953255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95804985"/>
      </c:catAx>
      <c:valAx>
        <c:axId val="795804985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29953255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8</xdr:col>
      <xdr:colOff>295275</xdr:colOff>
      <xdr:row>2</xdr:row>
      <xdr:rowOff>95250</xdr:rowOff>
    </xdr:from>
    <xdr:ext cx="5029200" cy="27146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02808e993c4a5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f384b04e4304c0c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30000114440918" defaultRowHeight="15"/>
  <x:cols>
    <x:col min="1" max="1" width="22" customWidth="1"/>
    <x:col min="2" max="2" width="36" customWidth="1"/>
    <x:col min="3" max="8" width="15" customWidth="1"/>
    <x:col min="9" max="9" width="8.630000114440918" customWidth="1"/>
    <x:col min="10" max="10" width="9" customWidth="1"/>
    <x:col min="11" max="11" width="38" customWidth="1"/>
    <x:col min="12" max="26" width="8.630000114440918" customWidth="1"/>
  </x:cols>
  <x:sheetData>
    <x:row r="1" ht="30" customHeight="1">
      <x:c r="A1" s="1" t="s">
        <x:v>0</x:v>
      </x:c>
      <x:c r="B1" s="2"/>
      <x:c r="C1" s="2"/>
      <x:c r="D1" s="2"/>
      <x:c r="E1" s="2"/>
      <x:c r="F1" s="2"/>
      <x:c r="G1" s="2"/>
      <x:c r="H1" s="3"/>
    </x:row>
    <x:row r="2" ht="37.5" customHeight="1">
      <x:c r="A2" s="4" t="s">
        <x:v>1</x:v>
      </x:c>
      <x:c r="B2" s="2"/>
      <x:c r="C2" s="2"/>
      <x:c r="D2" s="2"/>
      <x:c r="E2" s="2"/>
      <x:c r="F2" s="2"/>
      <x:c r="G2" s="2"/>
      <x:c r="H2" s="3"/>
    </x:row>
    <x:row r="3" ht="14.25" customHeight="1"/>
    <x:row r="4" ht="14.25" customHeight="1">
      <x:c r="A4" s="5" t="s">
        <x:v>2</x:v>
      </x:c>
      <x:c r="B4" s="6"/>
      <x:c r="C4" s="6"/>
      <x:c r="D4" s="6"/>
      <x:c r="E4" s="6"/>
      <x:c r="F4" s="7"/>
      <x:c r="J4" s="8" t="s">
        <x:v>3</x:v>
      </x:c>
      <x:c r="K4" s="8" t="s">
        <x:v>4</x:v>
      </x:c>
    </x:row>
    <x:row r="5" ht="14.25" customHeight="1">
      <x:c r="A5" s="8" t="s">
        <x:v>3</x:v>
      </x:c>
      <x:c r="B5" s="8" t="s">
        <x:v>4</x:v>
      </x:c>
      <x:c r="C5" s="8" t="s">
        <x:v>5</x:v>
      </x:c>
      <x:c r="D5" s="8" t="s">
        <x:v>6</x:v>
      </x:c>
      <x:c r="E5" s="8" t="s">
        <x:v>7</x:v>
      </x:c>
      <x:c r="F5" s="8" t="s">
        <x:v>8</x:v>
      </x:c>
      <x:c r="J5" s="9" t="s">
        <x:v>9</x:v>
      </x:c>
      <x:c r="K5" s="9" t="s">
        <x:v>10</x:v>
      </x:c>
    </x:row>
    <x:row r="6" ht="14.25" customHeight="1">
      <x:c r="A6" s="9" t="s">
        <x:v>9</x:v>
      </x:c>
      <x:c r="B6" s="9" t="s">
        <x:v>10</x:v>
      </x:c>
      <x:c r="C6" s="10" t="s">
        <x:v>11</x:v>
      </x:c>
      <x:c r="D6" s="10" t="s">
        <x:v>11</x:v>
      </x:c>
      <x:c r="E6" s="10" t="s">
        <x:v>12</x:v>
      </x:c>
      <x:c r="F6" s="10" t="s">
        <x:v>12</x:v>
      </x:c>
      <x:c r="J6" s="9" t="s">
        <x:v>13</x:v>
      </x:c>
      <x:c r="K6" s="9" t="s">
        <x:v>14</x:v>
      </x:c>
    </x:row>
    <x:row r="7" ht="14.25" customHeight="1">
      <x:c r="A7" s="9" t="s">
        <x:v>13</x:v>
      </x:c>
      <x:c r="B7" s="9" t="s">
        <x:v>14</x:v>
      </x:c>
      <x:c r="C7" s="10" t="s">
        <x:v>12</x:v>
      </x:c>
      <x:c r="D7" s="10" t="s">
        <x:v>15</x:v>
      </x:c>
      <x:c r="E7" s="10" t="s">
        <x:v>16</x:v>
      </x:c>
      <x:c r="F7" s="11" t="s">
        <x:v>11</x:v>
      </x:c>
      <x:c r="J7" s="9" t="s">
        <x:v>17</x:v>
      </x:c>
      <x:c r="K7" s="9" t="s">
        <x:v>18</x:v>
      </x:c>
    </x:row>
    <x:row r="8" ht="14.25" customHeight="1">
      <x:c r="A8" s="9" t="s">
        <x:v>17</x:v>
      </x:c>
      <x:c r="B8" s="9" t="s">
        <x:v>18</x:v>
      </x:c>
      <x:c r="C8" s="10" t="s">
        <x:v>11</x:v>
      </x:c>
      <x:c r="D8" s="10" t="s">
        <x:v>11</x:v>
      </x:c>
      <x:c r="E8" s="10" t="s">
        <x:v>15</x:v>
      </x:c>
      <x:c r="F8" s="10" t="s">
        <x:v>11</x:v>
      </x:c>
      <x:c r="J8" s="9" t="s">
        <x:v>19</x:v>
      </x:c>
      <x:c r="K8" s="9" t="s">
        <x:v>20</x:v>
      </x:c>
    </x:row>
    <x:row r="9" ht="14.25" customHeight="1">
      <x:c r="A9" s="9" t="s">
        <x:v>19</x:v>
      </x:c>
      <x:c r="B9" s="9" t="s">
        <x:v>20</x:v>
      </x:c>
      <x:c r="C9" s="10" t="s">
        <x:v>11</x:v>
      </x:c>
      <x:c r="D9" s="10" t="s">
        <x:v>12</x:v>
      </x:c>
      <x:c r="E9" s="10" t="s">
        <x:v>11</x:v>
      </x:c>
      <x:c r="F9" s="10" t="s">
        <x:v>12</x:v>
      </x:c>
      <x:c r="J9" s="9" t="s">
        <x:v>21</x:v>
      </x:c>
      <x:c r="K9" s="9" t="s">
        <x:v>22</x:v>
      </x:c>
    </x:row>
    <x:row r="10" ht="14.25" customHeight="1">
      <x:c r="A10" s="9" t="s">
        <x:v>21</x:v>
      </x:c>
      <x:c r="B10" s="9" t="s">
        <x:v>22</x:v>
      </x:c>
      <x:c r="C10" s="10" t="s">
        <x:v>11</x:v>
      </x:c>
      <x:c r="D10" s="10" t="s">
        <x:v>12</x:v>
      </x:c>
      <x:c r="E10" s="10" t="s">
        <x:v>11</x:v>
      </x:c>
      <x:c r="F10" s="10" t="s">
        <x:v>11</x:v>
      </x:c>
      <x:c r="J10" s="9" t="s">
        <x:v>23</x:v>
      </x:c>
      <x:c r="K10" s="9" t="s">
        <x:v>24</x:v>
      </x:c>
    </x:row>
    <x:row r="11" ht="14.25" customHeight="1">
      <x:c r="A11" s="9" t="s">
        <x:v>23</x:v>
      </x:c>
      <x:c r="B11" s="9" t="s">
        <x:v>24</x:v>
      </x:c>
      <x:c r="C11" s="10" t="s">
        <x:v>15</x:v>
      </x:c>
      <x:c r="D11" s="10" t="s">
        <x:v>11</x:v>
      </x:c>
      <x:c r="E11" s="10" t="s">
        <x:v>15</x:v>
      </x:c>
      <x:c r="F11" s="10" t="s">
        <x:v>11</x:v>
      </x:c>
      <x:c r="J11" s="9" t="s">
        <x:v>25</x:v>
      </x:c>
      <x:c r="K11" s="9" t="s">
        <x:v>26</x:v>
      </x:c>
    </x:row>
    <x:row r="12" ht="14.25" customHeight="1">
      <x:c r="A12" s="9" t="s">
        <x:v>25</x:v>
      </x:c>
      <x:c r="B12" s="9" t="s">
        <x:v>26</x:v>
      </x:c>
      <x:c r="C12" s="10" t="s">
        <x:v>11</x:v>
      </x:c>
      <x:c r="D12" s="10" t="s">
        <x:v>11</x:v>
      </x:c>
      <x:c r="E12" s="10" t="s">
        <x:v>15</x:v>
      </x:c>
      <x:c r="F12" s="10" t="s">
        <x:v>12</x:v>
      </x:c>
    </x:row>
    <x:row r="13" ht="14.25" customHeight="1"/>
    <x:row r="14" ht="14.25" customHeight="1"/>
    <x:row r="15" ht="14.25" customHeight="1">
      <x:c r="A15" s="5" t="s">
        <x:v>27</x:v>
      </x:c>
      <x:c r="B15" s="6"/>
      <x:c r="C15" s="6"/>
      <x:c r="D15" s="6"/>
      <x:c r="E15" s="6"/>
      <x:c r="F15" s="6"/>
      <x:c r="G15" s="6"/>
      <x:c r="H15" s="7"/>
    </x:row>
    <x:row r="16" ht="14.25" customHeight="1">
      <x:c r="A16" s="8" t="s">
        <x:v>28</x:v>
      </x:c>
      <x:c r="B16" s="8" t="s">
        <x:v>9</x:v>
      </x:c>
      <x:c r="C16" s="8" t="s">
        <x:v>13</x:v>
      </x:c>
      <x:c r="D16" s="8" t="s">
        <x:v>17</x:v>
      </x:c>
      <x:c r="E16" s="8" t="s">
        <x:v>19</x:v>
      </x:c>
      <x:c r="F16" s="8" t="s">
        <x:v>21</x:v>
      </x:c>
      <x:c r="G16" s="8" t="s">
        <x:v>23</x:v>
      </x:c>
      <x:c r="H16" s="8" t="s">
        <x:v>25</x:v>
      </x:c>
    </x:row>
    <x:row r="17" ht="14.25" customHeight="1">
      <x:c r="A17" s="9" t="s">
        <x:v>29</x:v>
      </x:c>
      <x:c r="B17" s="10" t="s">
        <x:v>11</x:v>
      </x:c>
      <x:c r="C17" s="10" t="s">
        <x:v>12</x:v>
      </x:c>
      <x:c r="D17" s="10" t="s">
        <x:v>15</x:v>
      </x:c>
      <x:c r="E17" s="10" t="s">
        <x:v>30</x:v>
      </x:c>
      <x:c r="F17" s="10" t="s">
        <x:v>15</x:v>
      </x:c>
      <x:c r="G17" s="10" t="s">
        <x:v>11</x:v>
      </x:c>
      <x:c r="H17" s="10" t="s">
        <x:v>11</x:v>
      </x:c>
    </x:row>
    <x:row r="18" ht="14.25" customHeight="1">
      <x:c r="A18" s="9" t="s">
        <x:v>31</x:v>
      </x:c>
      <x:c r="B18" s="10" t="s">
        <x:v>32</x:v>
      </x:c>
      <x:c r="C18" s="10" t="s">
        <x:v>16</x:v>
      </x:c>
      <x:c r="D18" s="10" t="s">
        <x:v>16</x:v>
      </x:c>
      <x:c r="E18" s="10" t="s">
        <x:v>12</x:v>
      </x:c>
      <x:c r="F18" s="10" t="s">
        <x:v>33</x:v>
      </x:c>
      <x:c r="G18" s="10" t="s">
        <x:v>16</x:v>
      </x:c>
      <x:c r="H18" s="10" t="s">
        <x:v>15</x:v>
      </x:c>
    </x:row>
    <x:row r="19" ht="14.25" customHeight="1">
      <x:c r="A19" s="9" t="s">
        <x:v>34</x:v>
      </x:c>
      <x:c r="B19" s="10" t="s">
        <x:v>16</x:v>
      </x:c>
      <x:c r="C19" s="10" t="s">
        <x:v>11</x:v>
      </x:c>
      <x:c r="D19" s="10" t="s">
        <x:v>11</x:v>
      </x:c>
      <x:c r="E19" s="10" t="s">
        <x:v>11</x:v>
      </x:c>
      <x:c r="F19" s="10" t="s">
        <x:v>11</x:v>
      </x:c>
      <x:c r="G19" s="10" t="s">
        <x:v>11</x:v>
      </x:c>
      <x:c r="H19" s="10" t="s">
        <x:v>11</x:v>
      </x:c>
    </x:row>
    <x:row r="20" ht="14.25" customHeight="1">
      <x:c r="A20" s="9" t="s">
        <x:v>35</x:v>
      </x:c>
      <x:c r="B20" s="10" t="s">
        <x:v>30</x:v>
      </x:c>
      <x:c r="C20" s="10" t="s">
        <x:v>11</x:v>
      </x:c>
      <x:c r="D20" s="10" t="s">
        <x:v>15</x:v>
      </x:c>
      <x:c r="E20" s="10" t="s">
        <x:v>11</x:v>
      </x:c>
      <x:c r="F20" s="10" t="s">
        <x:v>11</x:v>
      </x:c>
      <x:c r="G20" s="10" t="s">
        <x:v>15</x:v>
      </x:c>
      <x:c r="H20" s="10" t="s">
        <x:v>15</x:v>
      </x:c>
    </x:row>
    <x:row r="21" ht="14.25" customHeight="1">
      <x:c r="A21" s="9" t="s">
        <x:v>36</x:v>
      </x:c>
      <x:c r="B21" s="10" t="s">
        <x:v>16</x:v>
      </x:c>
      <x:c r="C21" s="10" t="s">
        <x:v>11</x:v>
      </x:c>
      <x:c r="D21" s="10" t="s">
        <x:v>15</x:v>
      </x:c>
      <x:c r="E21" s="10" t="s">
        <x:v>15</x:v>
      </x:c>
      <x:c r="F21" s="10" t="s">
        <x:v>15</x:v>
      </x:c>
      <x:c r="G21" s="10" t="s">
        <x:v>15</x:v>
      </x:c>
      <x:c r="H21" s="10" t="s">
        <x:v>15</x:v>
      </x:c>
    </x:row>
    <x:row r="22" ht="14.25" customHeight="1">
      <x:c r="A22" s="9" t="s">
        <x:v>37</x:v>
      </x:c>
      <x:c r="B22" s="10" t="s">
        <x:v>30</x:v>
      </x:c>
      <x:c r="C22" s="10" t="s">
        <x:v>16</x:v>
      </x:c>
      <x:c r="D22" s="10" t="s">
        <x:v>12</x:v>
      </x:c>
      <x:c r="E22" s="10" t="s">
        <x:v>11</x:v>
      </x:c>
      <x:c r="F22" s="10" t="s">
        <x:v>12</x:v>
      </x:c>
      <x:c r="G22" s="10" t="s">
        <x:v>12</x:v>
      </x:c>
      <x:c r="H22" s="10" t="s">
        <x:v>11</x:v>
      </x:c>
    </x:row>
    <x:row r="23" ht="14.25" customHeight="1"/>
    <x:row r="24" ht="14.25" customHeight="1"/>
    <x:row r="25" ht="14.25" customHeight="1">
      <x:c r="A25" s="5" t="s">
        <x:v>38</x:v>
      </x:c>
      <x:c r="B25" s="6"/>
      <x:c r="C25" s="6"/>
      <x:c r="D25" s="6"/>
      <x:c r="E25" s="6"/>
      <x:c r="F25" s="6"/>
      <x:c r="G25" s="6"/>
      <x:c r="H25" s="7"/>
    </x:row>
    <x:row r="26" ht="14.25" customHeight="1">
      <x:c r="A26" s="8" t="s">
        <x:v>28</x:v>
      </x:c>
      <x:c r="B26" s="8" t="s">
        <x:v>9</x:v>
      </x:c>
      <x:c r="C26" s="8" t="s">
        <x:v>13</x:v>
      </x:c>
      <x:c r="D26" s="8" t="s">
        <x:v>17</x:v>
      </x:c>
      <x:c r="E26" s="8" t="s">
        <x:v>19</x:v>
      </x:c>
      <x:c r="F26" s="8" t="s">
        <x:v>21</x:v>
      </x:c>
      <x:c r="G26" s="8" t="s">
        <x:v>23</x:v>
      </x:c>
      <x:c r="H26" s="8" t="s">
        <x:v>25</x:v>
      </x:c>
    </x:row>
    <x:row r="27" ht="14.25" customHeight="1">
      <x:c r="A27" s="9" t="s">
        <x:v>29</x:v>
      </x:c>
      <x:c r="B27" s="10" t="s">
        <x:v>11</x:v>
      </x:c>
      <x:c r="C27" s="10" t="s">
        <x:v>39</x:v>
      </x:c>
      <x:c r="D27" s="10" t="s">
        <x:v>15</x:v>
      </x:c>
      <x:c r="E27" s="10" t="s">
        <x:v>16</x:v>
      </x:c>
      <x:c r="F27" s="10" t="s">
        <x:v>15</x:v>
      </x:c>
      <x:c r="G27" s="10" t="s">
        <x:v>15</x:v>
      </x:c>
      <x:c r="H27" s="10" t="s">
        <x:v>15</x:v>
      </x:c>
    </x:row>
    <x:row r="28" ht="14.25" customHeight="1">
      <x:c r="A28" s="9" t="s">
        <x:v>31</x:v>
      </x:c>
      <x:c r="B28" s="10" t="s">
        <x:v>40</x:v>
      </x:c>
      <x:c r="C28" s="10" t="s">
        <x:v>39</x:v>
      </x:c>
      <x:c r="D28" s="10" t="s">
        <x:v>12</x:v>
      </x:c>
      <x:c r="E28" s="10" t="s">
        <x:v>12</x:v>
      </x:c>
      <x:c r="F28" s="10" t="s">
        <x:v>41</x:v>
      </x:c>
      <x:c r="G28" s="10" t="s">
        <x:v>16</x:v>
      </x:c>
      <x:c r="H28" s="10" t="s">
        <x:v>11</x:v>
      </x:c>
    </x:row>
    <x:row r="29" ht="14.25" customHeight="1">
      <x:c r="A29" s="9" t="s">
        <x:v>34</x:v>
      </x:c>
      <x:c r="B29" s="10" t="s">
        <x:v>16</x:v>
      </x:c>
      <x:c r="C29" s="10" t="s">
        <x:v>16</x:v>
      </x:c>
      <x:c r="D29" s="10" t="s">
        <x:v>11</x:v>
      </x:c>
      <x:c r="E29" s="10" t="s">
        <x:v>30</x:v>
      </x:c>
      <x:c r="F29" s="10" t="s">
        <x:v>11</x:v>
      </x:c>
      <x:c r="G29" s="10" t="s">
        <x:v>15</x:v>
      </x:c>
      <x:c r="H29" s="10" t="s">
        <x:v>11</x:v>
      </x:c>
    </x:row>
    <x:row r="30" ht="14.25" customHeight="1">
      <x:c r="A30" s="9" t="s">
        <x:v>35</x:v>
      </x:c>
      <x:c r="B30" s="10" t="s">
        <x:v>30</x:v>
      </x:c>
      <x:c r="C30" s="10" t="s">
        <x:v>16</x:v>
      </x:c>
      <x:c r="D30" s="10" t="s">
        <x:v>12</x:v>
      </x:c>
      <x:c r="E30" s="10" t="s">
        <x:v>30</x:v>
      </x:c>
      <x:c r="F30" s="10" t="s">
        <x:v>11</x:v>
      </x:c>
      <x:c r="G30" s="10" t="s">
        <x:v>15</x:v>
      </x:c>
      <x:c r="H30" s="10" t="s">
        <x:v>15</x:v>
      </x:c>
    </x:row>
    <x:row r="31" ht="14.25" customHeight="1">
      <x:c r="A31" s="9" t="s">
        <x:v>36</x:v>
      </x:c>
      <x:c r="B31" s="10" t="s">
        <x:v>16</x:v>
      </x:c>
      <x:c r="C31" s="10" t="s">
        <x:v>16</x:v>
      </x:c>
      <x:c r="D31" s="10" t="s">
        <x:v>12</x:v>
      </x:c>
      <x:c r="E31" s="10" t="s">
        <x:v>30</x:v>
      </x:c>
      <x:c r="F31" s="10" t="s">
        <x:v>15</x:v>
      </x:c>
      <x:c r="G31" s="10" t="s">
        <x:v>15</x:v>
      </x:c>
      <x:c r="H31" s="10" t="s">
        <x:v>15</x:v>
      </x:c>
    </x:row>
    <x:row r="32" ht="14.25" customHeight="1">
      <x:c r="A32" s="9" t="s">
        <x:v>37</x:v>
      </x:c>
      <x:c r="B32" s="10" t="s">
        <x:v>30</x:v>
      </x:c>
      <x:c r="C32" s="10" t="s">
        <x:v>16</x:v>
      </x:c>
      <x:c r="D32" s="10" t="s">
        <x:v>12</x:v>
      </x:c>
      <x:c r="E32" s="10" t="s">
        <x:v>12</x:v>
      </x:c>
      <x:c r="F32" s="10" t="s">
        <x:v>12</x:v>
      </x:c>
      <x:c r="G32" s="10" t="s">
        <x:v>12</x:v>
      </x:c>
      <x:c r="H32" s="10" t="s">
        <x:v>11</x:v>
      </x:c>
    </x:row>
    <x:row r="33" ht="14.25" customHeight="1"/>
    <x:row r="34" ht="14.25" customHeight="1"/>
    <x:row r="35" ht="14.25" customHeight="1">
      <x:c r="A35" s="5" t="s">
        <x:v>42</x:v>
      </x:c>
      <x:c r="B35" s="6"/>
      <x:c r="C35" s="6"/>
      <x:c r="D35" s="6"/>
      <x:c r="E35" s="6"/>
      <x:c r="F35" s="6"/>
      <x:c r="G35" s="6"/>
      <x:c r="H35" s="7"/>
    </x:row>
    <x:row r="36" ht="14.25" customHeight="1">
      <x:c r="A36" s="8" t="s">
        <x:v>28</x:v>
      </x:c>
      <x:c r="B36" s="8" t="s">
        <x:v>9</x:v>
      </x:c>
      <x:c r="C36" s="8" t="s">
        <x:v>13</x:v>
      </x:c>
      <x:c r="D36" s="8" t="s">
        <x:v>17</x:v>
      </x:c>
      <x:c r="E36" s="8" t="s">
        <x:v>19</x:v>
      </x:c>
      <x:c r="F36" s="8" t="s">
        <x:v>21</x:v>
      </x:c>
      <x:c r="G36" s="8" t="s">
        <x:v>23</x:v>
      </x:c>
      <x:c r="H36" s="8" t="s">
        <x:v>25</x:v>
      </x:c>
    </x:row>
    <x:row r="37" ht="14.25" customHeight="1">
      <x:c r="A37" s="9" t="s">
        <x:v>29</x:v>
      </x:c>
      <x:c r="B37" s="10" t="s">
        <x:v>43</x:v>
      </x:c>
      <x:c r="C37" s="10" t="s">
        <x:v>44</x:v>
      </x:c>
      <x:c r="D37" s="10" t="s">
        <x:v>45</x:v>
      </x:c>
      <x:c r="E37" s="10" t="s">
        <x:v>46</x:v>
      </x:c>
      <x:c r="F37" s="10" t="s">
        <x:v>45</x:v>
      </x:c>
      <x:c r="G37" s="10" t="s">
        <x:v>45</x:v>
      </x:c>
      <x:c r="H37" s="10" t="s">
        <x:v>43</x:v>
      </x:c>
    </x:row>
    <x:row r="38" ht="14.25" customHeight="1">
      <x:c r="A38" s="9" t="s">
        <x:v>31</x:v>
      </x:c>
      <x:c r="B38" s="10" t="s">
        <x:v>47</x:v>
      </x:c>
      <x:c r="C38" s="10" t="s">
        <x:v>48</x:v>
      </x:c>
      <x:c r="D38" s="10" t="s">
        <x:v>48</x:v>
      </x:c>
      <x:c r="E38" s="10" t="s">
        <x:v>44</x:v>
      </x:c>
      <x:c r="F38" s="10" t="s">
        <x:v>47</x:v>
      </x:c>
      <x:c r="G38" s="10" t="s">
        <x:v>48</x:v>
      </x:c>
      <x:c r="H38" s="10" t="s">
        <x:v>45</x:v>
      </x:c>
    </x:row>
    <x:row r="39" ht="14.25" customHeight="1">
      <x:c r="A39" s="9" t="s">
        <x:v>34</x:v>
      </x:c>
      <x:c r="B39" s="10" t="s">
        <x:v>48</x:v>
      </x:c>
      <x:c r="C39" s="10" t="s">
        <x:v>44</x:v>
      </x:c>
      <x:c r="D39" s="10" t="s">
        <x:v>43</x:v>
      </x:c>
      <x:c r="E39" s="10" t="s">
        <x:v>43</x:v>
      </x:c>
      <x:c r="F39" s="10" t="s">
        <x:v>43</x:v>
      </x:c>
      <x:c r="G39" s="10" t="s">
        <x:v>43</x:v>
      </x:c>
      <x:c r="H39" s="10" t="s">
        <x:v>43</x:v>
      </x:c>
    </x:row>
    <x:row r="40" ht="14.25" customHeight="1">
      <x:c r="A40" s="9" t="s">
        <x:v>35</x:v>
      </x:c>
      <x:c r="B40" s="10" t="s">
        <x:v>46</x:v>
      </x:c>
      <x:c r="C40" s="10" t="s">
        <x:v>43</x:v>
      </x:c>
      <x:c r="D40" s="10" t="s">
        <x:v>45</x:v>
      </x:c>
      <x:c r="E40" s="10" t="s">
        <x:v>45</x:v>
      </x:c>
      <x:c r="F40" s="10" t="s">
        <x:v>45</x:v>
      </x:c>
      <x:c r="G40" s="10" t="s">
        <x:v>45</x:v>
      </x:c>
      <x:c r="H40" s="10" t="s">
        <x:v>45</x:v>
      </x:c>
    </x:row>
    <x:row r="41" ht="14.25" customHeight="1">
      <x:c r="A41" s="9" t="s">
        <x:v>36</x:v>
      </x:c>
      <x:c r="B41" s="10" t="s">
        <x:v>48</x:v>
      </x:c>
      <x:c r="C41" s="10" t="s">
        <x:v>43</x:v>
      </x:c>
      <x:c r="D41" s="10" t="s">
        <x:v>45</x:v>
      </x:c>
      <x:c r="E41" s="10" t="s">
        <x:v>45</x:v>
      </x:c>
      <x:c r="F41" s="10" t="s">
        <x:v>45</x:v>
      </x:c>
      <x:c r="G41" s="10" t="s">
        <x:v>45</x:v>
      </x:c>
      <x:c r="H41" s="10" t="s">
        <x:v>45</x:v>
      </x:c>
    </x:row>
    <x:row r="42" ht="14.25" customHeight="1">
      <x:c r="A42" s="9" t="s">
        <x:v>37</x:v>
      </x:c>
      <x:c r="B42" s="10" t="s">
        <x:v>46</x:v>
      </x:c>
      <x:c r="C42" s="10" t="s">
        <x:v>48</x:v>
      </x:c>
      <x:c r="D42" s="10" t="s">
        <x:v>44</x:v>
      </x:c>
      <x:c r="E42" s="10" t="s">
        <x:v>43</x:v>
      </x:c>
      <x:c r="F42" s="10" t="s">
        <x:v>44</x:v>
      </x:c>
      <x:c r="G42" s="10" t="s">
        <x:v>44</x:v>
      </x:c>
      <x:c r="H42" s="10" t="s">
        <x:v>43</x:v>
      </x:c>
    </x:row>
    <x:row r="43" ht="14.25" customHeight="1"/>
    <x:row r="44" ht="14.25" customHeight="1"/>
    <x:row r="45" ht="14.25" customHeight="1">
      <x:c r="A45" s="5" t="s">
        <x:v>49</x:v>
      </x:c>
      <x:c r="B45" s="6"/>
      <x:c r="C45" s="6"/>
      <x:c r="D45" s="6"/>
      <x:c r="E45" s="6"/>
      <x:c r="F45" s="6"/>
      <x:c r="G45" s="6"/>
      <x:c r="H45" s="7"/>
    </x:row>
    <x:row r="46" ht="14.25" customHeight="1">
      <x:c r="A46" s="8" t="s">
        <x:v>28</x:v>
      </x:c>
      <x:c r="B46" s="8" t="s">
        <x:v>9</x:v>
      </x:c>
      <x:c r="C46" s="8" t="s">
        <x:v>13</x:v>
      </x:c>
      <x:c r="D46" s="8" t="s">
        <x:v>17</x:v>
      </x:c>
      <x:c r="E46" s="8" t="s">
        <x:v>19</x:v>
      </x:c>
      <x:c r="F46" s="8" t="s">
        <x:v>21</x:v>
      </x:c>
      <x:c r="G46" s="8" t="s">
        <x:v>23</x:v>
      </x:c>
      <x:c r="H46" s="8" t="s">
        <x:v>25</x:v>
      </x:c>
    </x:row>
    <x:row r="47" ht="14.25" customHeight="1">
      <x:c r="A47" s="9" t="s">
        <x:v>29</x:v>
      </x:c>
      <x:c r="B47" s="11" t="s">
        <x:v>11</x:v>
      </x:c>
      <x:c r="C47" s="11" t="s">
        <x:v>16</x:v>
      </x:c>
      <x:c r="D47" s="11" t="s">
        <x:v>15</x:v>
      </x:c>
      <x:c r="E47" s="11" t="s">
        <x:v>16</x:v>
      </x:c>
      <x:c r="F47" s="11" t="s">
        <x:v>11</x:v>
      </x:c>
      <x:c r="G47" s="11" t="s">
        <x:v>11</x:v>
      </x:c>
      <x:c r="H47" s="11" t="s">
        <x:v>11</x:v>
      </x:c>
    </x:row>
    <x:row r="48" ht="14.25" customHeight="1">
      <x:c r="A48" s="9" t="s">
        <x:v>31</x:v>
      </x:c>
      <x:c r="B48" s="11" t="s">
        <x:v>12</x:v>
      </x:c>
      <x:c r="C48" s="11" t="s">
        <x:v>16</x:v>
      </x:c>
      <x:c r="D48" s="11" t="s">
        <x:v>11</x:v>
      </x:c>
      <x:c r="E48" s="11" t="s">
        <x:v>12</x:v>
      </x:c>
      <x:c r="F48" s="11" t="s">
        <x:v>40</x:v>
      </x:c>
      <x:c r="G48" s="11" t="s">
        <x:v>16</x:v>
      </x:c>
      <x:c r="H48" s="11" t="s">
        <x:v>11</x:v>
      </x:c>
    </x:row>
    <x:row r="49" ht="14.25" customHeight="1">
      <x:c r="A49" s="9" t="s">
        <x:v>34</x:v>
      </x:c>
      <x:c r="B49" s="11" t="s">
        <x:v>16</x:v>
      </x:c>
      <x:c r="C49" s="11" t="s">
        <x:v>12</x:v>
      </x:c>
      <x:c r="D49" s="11" t="s">
        <x:v>15</x:v>
      </x:c>
      <x:c r="E49" s="11" t="s">
        <x:v>12</x:v>
      </x:c>
      <x:c r="F49" s="11" t="s">
        <x:v>12</x:v>
      </x:c>
      <x:c r="G49" s="11" t="s">
        <x:v>12</x:v>
      </x:c>
      <x:c r="H49" s="11" t="s">
        <x:v>12</x:v>
      </x:c>
    </x:row>
    <x:row r="50" ht="14.25" customHeight="1">
      <x:c r="A50" s="9" t="s">
        <x:v>35</x:v>
      </x:c>
      <x:c r="B50" s="11" t="s">
        <x:v>16</x:v>
      </x:c>
      <x:c r="C50" s="11" t="s">
        <x:v>16</x:v>
      </x:c>
      <x:c r="D50" s="11" t="s">
        <x:v>11</x:v>
      </x:c>
      <x:c r="E50" s="11" t="s">
        <x:v>16</x:v>
      </x:c>
      <x:c r="F50" s="11" t="s">
        <x:v>16</x:v>
      </x:c>
      <x:c r="G50" s="11" t="s">
        <x:v>12</x:v>
      </x:c>
      <x:c r="H50" s="11" t="s">
        <x:v>11</x:v>
      </x:c>
    </x:row>
    <x:row r="51" ht="14.25" customHeight="1">
      <x:c r="A51" s="9" t="s">
        <x:v>36</x:v>
      </x:c>
      <x:c r="B51" s="11" t="s">
        <x:v>16</x:v>
      </x:c>
      <x:c r="C51" s="11" t="s">
        <x:v>12</x:v>
      </x:c>
      <x:c r="D51" s="11" t="s">
        <x:v>11</x:v>
      </x:c>
      <x:c r="E51" s="11" t="s">
        <x:v>12</x:v>
      </x:c>
      <x:c r="F51" s="11" t="s">
        <x:v>12</x:v>
      </x:c>
      <x:c r="G51" s="11" t="s">
        <x:v>11</x:v>
      </x:c>
      <x:c r="H51" s="11" t="s">
        <x:v>11</x:v>
      </x:c>
    </x:row>
    <x:row r="52" ht="14.25" customHeight="1">
      <x:c r="A52" s="9" t="s">
        <x:v>37</x:v>
      </x:c>
      <x:c r="B52" s="11" t="s">
        <x:v>30</x:v>
      </x:c>
      <x:c r="C52" s="11" t="s">
        <x:v>16</x:v>
      </x:c>
      <x:c r="D52" s="11" t="s">
        <x:v>11</x:v>
      </x:c>
      <x:c r="E52" s="11" t="s">
        <x:v>11</x:v>
      </x:c>
      <x:c r="F52" s="11" t="s">
        <x:v>30</x:v>
      </x:c>
      <x:c r="G52" s="11" t="s">
        <x:v>30</x:v>
      </x:c>
      <x:c r="H52" s="11" t="s">
        <x:v>12</x:v>
      </x:c>
    </x:row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H1"/>
    <x:mergeCell ref="A2:H2"/>
    <x:mergeCell ref="A4:F4"/>
    <x:mergeCell ref="A15:H15"/>
    <x:mergeCell ref="A25:H25"/>
    <x:mergeCell ref="A35:H35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2.630000114440918" defaultRowHeight="15"/>
  <x:cols>
    <x:col min="1" max="1" width="21" customWidth="1"/>
    <x:col min="2" max="2" width="34" customWidth="1"/>
    <x:col min="3" max="22" width="10" customWidth="1"/>
    <x:col min="23" max="26" width="8.630000114440918" customWidth="1"/>
  </x:cols>
  <x:sheetData>
    <x:row r="1" ht="14.25" customHeight="1">
      <x:c r="A1" s="1" t="s">
        <x:v>50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3"/>
    </x:row>
    <x:row r="2" ht="14.25" customHeight="1">
      <x:c r="A2" s="4" t="s">
        <x:v>51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3"/>
    </x:row>
    <x:row r="3" ht="14.25" customHeight="1"/>
    <x:row r="4" ht="14.25" customHeight="1">
      <x:c r="A4" s="5" t="s">
        <x:v>52</x:v>
      </x:c>
      <x:c r="B4" s="6"/>
      <x:c r="C4" s="6"/>
      <x:c r="D4" s="6"/>
      <x:c r="E4" s="6"/>
      <x:c r="F4" s="6"/>
      <x:c r="G4" s="6"/>
      <x:c r="H4" s="7"/>
    </x:row>
    <x:row r="5" ht="14.25" customHeight="1">
      <x:c r="A5" s="8" t="s">
        <x:v>3</x:v>
      </x:c>
      <x:c r="B5" s="8" t="s">
        <x:v>4</x:v>
      </x:c>
      <x:c r="C5" s="8" t="s">
        <x:v>53</x:v>
      </x:c>
      <x:c r="D5" s="8" t="s">
        <x:v>54</x:v>
      </x:c>
      <x:c r="E5" s="8" t="s">
        <x:v>55</x:v>
      </x:c>
      <x:c r="F5" s="8" t="s">
        <x:v>56</x:v>
      </x:c>
      <x:c r="G5" s="8" t="s">
        <x:v>57</x:v>
      </x:c>
      <x:c r="H5" s="8" t="s">
        <x:v>58</x:v>
      </x:c>
    </x:row>
    <x:row r="6" ht="14.25" customHeight="1">
      <x:c r="A6" s="9" t="s">
        <x:v>9</x:v>
      </x:c>
      <x:c r="B6" s="9" t="s">
        <x:v>10</x:v>
      </x:c>
      <x:c r="C6" s="18" t="n">
        <x:f>AVERAGE(8,8,7,7)</x:f>
        <x:v>7.5</x:v>
      </x:c>
      <x:c r="D6" s="18" t="n">
        <x:f>AVERAGE(9,9,8,8)</x:f>
        <x:v>8.5</x:v>
      </x:c>
      <x:c r="E6" s="18" t="n">
        <x:f>AVERAGE(10,10,9,9)</x:f>
        <x:v>9.5</x:v>
      </x:c>
      <x:c r="F6" s="18" t="n">
        <x:f t="shared" ref="F6:H6" si="1">C6/10</x:f>
        <x:v>0.75</x:v>
      </x:c>
      <x:c r="G6" s="18">
        <x:f t="shared" si="1"/>
        <x:v>0.85</x:v>
      </x:c>
      <x:c r="H6" s="18">
        <x:f t="shared" si="1"/>
        <x:v>0.95</x:v>
      </x:c>
    </x:row>
    <x:row r="7" ht="14.25" customHeight="1">
      <x:c r="A7" s="9" t="s">
        <x:v>13</x:v>
      </x:c>
      <x:c r="B7" s="9" t="s">
        <x:v>14</x:v>
      </x:c>
      <x:c r="C7" s="18" t="n">
        <x:f>AVERAGE(7,9,6,8)</x:f>
        <x:v>7.5</x:v>
      </x:c>
      <x:c r="D7" s="18" t="n">
        <x:f>AVERAGE(8,10,7,9)</x:f>
        <x:v>8.5</x:v>
      </x:c>
      <x:c r="E7" s="18" t="n">
        <x:f>AVERAGE(9,10,8,10)</x:f>
        <x:v>9.25</x:v>
      </x:c>
      <x:c r="F7" s="18" t="n">
        <x:f t="shared" ref="F7:H7" si="2">C7/10</x:f>
        <x:v>0.75</x:v>
      </x:c>
      <x:c r="G7" s="18">
        <x:f t="shared" si="2"/>
        <x:v>0.85</x:v>
      </x:c>
      <x:c r="H7" s="18">
        <x:f t="shared" si="2"/>
        <x:v>0.925</x:v>
      </x:c>
    </x:row>
    <x:row r="8" ht="14.25" customHeight="1">
      <x:c r="A8" s="9" t="s">
        <x:v>17</x:v>
      </x:c>
      <x:c r="B8" s="9" t="s">
        <x:v>18</x:v>
      </x:c>
      <x:c r="C8" s="18" t="n">
        <x:f>AVERAGE(8,8,9,8)</x:f>
        <x:v>8.25</x:v>
      </x:c>
      <x:c r="D8" s="18" t="n">
        <x:f>AVERAGE(9,9,10,9)</x:f>
        <x:v>9.25</x:v>
      </x:c>
      <x:c r="E8" s="18" t="n">
        <x:f>AVERAGE(10,10,10,10)</x:f>
        <x:v>10</x:v>
      </x:c>
      <x:c r="F8" s="18" t="n">
        <x:f t="shared" ref="F8:H8" si="3">C8/10</x:f>
        <x:v>0.825</x:v>
      </x:c>
      <x:c r="G8" s="18">
        <x:f t="shared" si="3"/>
        <x:v>0.925</x:v>
      </x:c>
      <x:c r="H8" s="18">
        <x:f t="shared" si="3"/>
        <x:v>1</x:v>
      </x:c>
    </x:row>
    <x:row r="9" ht="14.25" customHeight="1">
      <x:c r="A9" s="9" t="s">
        <x:v>19</x:v>
      </x:c>
      <x:c r="B9" s="9" t="s">
        <x:v>20</x:v>
      </x:c>
      <x:c r="C9" s="18" t="n">
        <x:f>AVERAGE(8,7,8,7)</x:f>
        <x:v>7.5</x:v>
      </x:c>
      <x:c r="D9" s="18" t="n">
        <x:f>AVERAGE(9,8,9,8)</x:f>
        <x:v>8.5</x:v>
      </x:c>
      <x:c r="E9" s="18" t="n">
        <x:f>AVERAGE(10,9,10,9)</x:f>
        <x:v>9.5</x:v>
      </x:c>
      <x:c r="F9" s="18" t="n">
        <x:f t="shared" ref="F9:H9" si="4">C9/10</x:f>
        <x:v>0.75</x:v>
      </x:c>
      <x:c r="G9" s="18">
        <x:f t="shared" si="4"/>
        <x:v>0.85</x:v>
      </x:c>
      <x:c r="H9" s="18">
        <x:f t="shared" si="4"/>
        <x:v>0.95</x:v>
      </x:c>
    </x:row>
    <x:row r="10" ht="14.25" customHeight="1">
      <x:c r="A10" s="9" t="s">
        <x:v>21</x:v>
      </x:c>
      <x:c r="B10" s="9" t="s">
        <x:v>22</x:v>
      </x:c>
      <x:c r="C10" s="18" t="n">
        <x:f>AVERAGE(8,7,8,8)</x:f>
        <x:v>7.75</x:v>
      </x:c>
      <x:c r="D10" s="18" t="n">
        <x:f>AVERAGE(9,8,9,9)</x:f>
        <x:v>8.75</x:v>
      </x:c>
      <x:c r="E10" s="18" t="n">
        <x:f>AVERAGE(10,9,10,10)</x:f>
        <x:v>9.75</x:v>
      </x:c>
      <x:c r="F10" s="18" t="n">
        <x:f t="shared" ref="F10:H10" si="5">C10/10</x:f>
        <x:v>0.775</x:v>
      </x:c>
      <x:c r="G10" s="18">
        <x:f t="shared" si="5"/>
        <x:v>0.875</x:v>
      </x:c>
      <x:c r="H10" s="18">
        <x:f t="shared" si="5"/>
        <x:v>0.975</x:v>
      </x:c>
    </x:row>
    <x:row r="11" ht="14.25" customHeight="1">
      <x:c r="A11" s="9" t="s">
        <x:v>23</x:v>
      </x:c>
      <x:c r="B11" s="9" t="s">
        <x:v>24</x:v>
      </x:c>
      <x:c r="C11" s="18" t="n">
        <x:f>AVERAGE(9,8,9,8)</x:f>
        <x:v>8.5</x:v>
      </x:c>
      <x:c r="D11" s="18" t="n">
        <x:f>AVERAGE(10,9,10,9)</x:f>
        <x:v>9.5</x:v>
      </x:c>
      <x:c r="E11" s="18" t="n">
        <x:f>AVERAGE(10,10,10,10)</x:f>
        <x:v>10</x:v>
      </x:c>
      <x:c r="F11" s="18" t="n">
        <x:f t="shared" ref="F11:H11" si="6">C11/10</x:f>
        <x:v>0.85</x:v>
      </x:c>
      <x:c r="G11" s="18">
        <x:f t="shared" si="6"/>
        <x:v>0.95</x:v>
      </x:c>
      <x:c r="H11" s="18">
        <x:f t="shared" si="6"/>
        <x:v>1</x:v>
      </x:c>
    </x:row>
    <x:row r="12" ht="14.25" customHeight="1">
      <x:c r="A12" s="9" t="s">
        <x:v>25</x:v>
      </x:c>
      <x:c r="B12" s="9" t="s">
        <x:v>26</x:v>
      </x:c>
      <x:c r="C12" s="18" t="n">
        <x:f>AVERAGE(8,8,9,7)</x:f>
        <x:v>8</x:v>
      </x:c>
      <x:c r="D12" s="18" t="n">
        <x:f>AVERAGE(9,9,10,8)</x:f>
        <x:v>9</x:v>
      </x:c>
      <x:c r="E12" s="18" t="n">
        <x:f>AVERAGE(10,10,10,9)</x:f>
        <x:v>9.75</x:v>
      </x:c>
      <x:c r="F12" s="18" t="n">
        <x:f t="shared" ref="F12:H12" si="7">C12/10</x:f>
        <x:v>0.8</x:v>
      </x:c>
      <x:c r="G12" s="18">
        <x:f t="shared" si="7"/>
        <x:v>0.9</x:v>
      </x:c>
      <x:c r="H12" s="18">
        <x:f t="shared" si="7"/>
        <x:v>0.975</x:v>
      </x:c>
    </x:row>
    <x:row r="13" ht="14.25" customHeight="1"/>
    <x:row r="14" ht="14.25" customHeight="1"/>
    <x:row r="15" ht="14.25" customHeight="1">
      <x:c r="A15" s="5" t="s">
        <x:v>59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7"/>
    </x:row>
    <x:row r="16" ht="14.25" customHeight="1">
      <x:c r="A16" s="8" t="s">
        <x:v>28</x:v>
      </x:c>
      <x:c r="B16" s="8" t="s">
        <x:v>60</x:v>
      </x:c>
      <x:c r="C16" s="8" t="s">
        <x:v>61</x:v>
      </x:c>
      <x:c r="D16" s="8" t="s">
        <x:v>62</x:v>
      </x:c>
      <x:c r="E16" s="8" t="s">
        <x:v>63</x:v>
      </x:c>
      <x:c r="F16" s="8" t="s">
        <x:v>64</x:v>
      </x:c>
      <x:c r="G16" s="8" t="s">
        <x:v>65</x:v>
      </x:c>
      <x:c r="H16" s="8" t="s">
        <x:v>66</x:v>
      </x:c>
      <x:c r="I16" s="8" t="s">
        <x:v>67</x:v>
      </x:c>
      <x:c r="J16" s="8" t="s">
        <x:v>68</x:v>
      </x:c>
      <x:c r="K16" s="8" t="s">
        <x:v>69</x:v>
      </x:c>
      <x:c r="L16" s="8" t="s">
        <x:v>70</x:v>
      </x:c>
      <x:c r="M16" s="8" t="s">
        <x:v>71</x:v>
      </x:c>
      <x:c r="N16" s="8" t="s">
        <x:v>72</x:v>
      </x:c>
      <x:c r="O16" s="8" t="s">
        <x:v>73</x:v>
      </x:c>
      <x:c r="P16" s="8" t="s">
        <x:v>74</x:v>
      </x:c>
      <x:c r="Q16" s="8" t="s">
        <x:v>75</x:v>
      </x:c>
      <x:c r="R16" s="8" t="s">
        <x:v>76</x:v>
      </x:c>
      <x:c r="S16" s="8" t="s">
        <x:v>77</x:v>
      </x:c>
      <x:c r="T16" s="8" t="s">
        <x:v>78</x:v>
      </x:c>
      <x:c r="U16" s="8" t="s">
        <x:v>79</x:v>
      </x:c>
      <x:c r="V16" s="8" t="s">
        <x:v>80</x:v>
      </x:c>
    </x:row>
    <x:row r="17" ht="14.25" customHeight="1">
      <x:c r="A17" s="9" t="s">
        <x:v>29</x:v>
      </x:c>
      <x:c r="B17" s="18" t="n">
        <x:f>AVERAGE(8,8,8,8)</x:f>
        <x:v>8</x:v>
      </x:c>
      <x:c r="C17" s="18" t="n">
        <x:f>AVERAGE(9,9,9,9)</x:f>
        <x:v>9</x:v>
      </x:c>
      <x:c r="D17" s="18" t="n">
        <x:f>AVERAGE(10,10,10,10)</x:f>
        <x:v>10</x:v>
      </x:c>
      <x:c r="E17" s="18" t="n">
        <x:f>AVERAGE(7,7,7,7)</x:f>
        <x:v>7</x:v>
      </x:c>
      <x:c r="F17" s="18" t="n">
        <x:f>AVERAGE(8,8,8,8)</x:f>
        <x:v>8</x:v>
      </x:c>
      <x:c r="G17" s="18" t="n">
        <x:f>AVERAGE(9,10,9,9)</x:f>
        <x:v>9.25</x:v>
      </x:c>
      <x:c r="H17" s="18" t="n">
        <x:f>AVERAGE(9,9,9,8)</x:f>
        <x:v>8.75</x:v>
      </x:c>
      <x:c r="I17" s="18" t="n">
        <x:f>AVERAGE(10,10,10,9)</x:f>
        <x:v>9.75</x:v>
      </x:c>
      <x:c r="J17" s="18" t="n">
        <x:f>AVERAGE(10,10,10,10)</x:f>
        <x:v>10</x:v>
      </x:c>
      <x:c r="K17" s="18" t="n">
        <x:f>AVERAGE(5,6,5,5)</x:f>
        <x:v>5.25</x:v>
      </x:c>
      <x:c r="L17" s="18" t="n">
        <x:f>AVERAGE(6,7,6,6)</x:f>
        <x:v>6.25</x:v>
      </x:c>
      <x:c r="M17" s="18" t="n">
        <x:f>AVERAGE(7,8,7,7)</x:f>
        <x:v>7.25</x:v>
      </x:c>
      <x:c r="N17" s="18" t="n">
        <x:f>AVERAGE(9,9,9,9)</x:f>
        <x:v>9</x:v>
      </x:c>
      <x:c r="O17" s="18" t="n">
        <x:f t="shared" ref="O17:P17" si="8">AVERAGE(10,10,10,10)</x:f>
        <x:v>10</x:v>
      </x:c>
      <x:c r="P17" s="18">
        <x:f t="shared" si="8"/>
        <x:v>10</x:v>
      </x:c>
      <x:c r="Q17" s="18" t="n">
        <x:f>AVERAGE(8,9,9,8)</x:f>
        <x:v>8.5</x:v>
      </x:c>
      <x:c r="R17" s="18" t="n">
        <x:f>AVERAGE(9,10,10,9)</x:f>
        <x:v>9.5</x:v>
      </x:c>
      <x:c r="S17" s="18" t="n">
        <x:f>AVERAGE(10,10,10,10)</x:f>
        <x:v>10</x:v>
      </x:c>
      <x:c r="T17" s="18" t="n">
        <x:f>AVERAGE(8,9,8,7)</x:f>
        <x:v>8</x:v>
      </x:c>
      <x:c r="U17" s="18" t="n">
        <x:f>AVERAGE(9,10,9,8)</x:f>
        <x:v>9</x:v>
      </x:c>
      <x:c r="V17" s="18" t="n">
        <x:f>AVERAGE(10,10,10,9)</x:f>
        <x:v>9.75</x:v>
      </x:c>
    </x:row>
    <x:row r="18" ht="14.25" customHeight="1">
      <x:c r="A18" s="9" t="s">
        <x:v>31</x:v>
      </x:c>
      <x:c r="B18" s="18" t="n">
        <x:f>AVERAGE(3,4,3,3)</x:f>
        <x:v>3.25</x:v>
      </x:c>
      <x:c r="C18" s="18" t="n">
        <x:f>AVERAGE(4,5,4,4)</x:f>
        <x:v>4.25</x:v>
      </x:c>
      <x:c r="D18" s="18" t="n">
        <x:f>AVERAGE(5,6,5,5)</x:f>
        <x:v>5.25</x:v>
      </x:c>
      <x:c r="E18" s="18" t="n">
        <x:f>AVERAGE(6,7,6,6)</x:f>
        <x:v>6.25</x:v>
      </x:c>
      <x:c r="F18" s="18" t="n">
        <x:f>AVERAGE(7,8,7,7)</x:f>
        <x:v>7.25</x:v>
      </x:c>
      <x:c r="G18" s="18" t="n">
        <x:f>AVERAGE(8,10,8,8)</x:f>
        <x:v>8.5</x:v>
      </x:c>
      <x:c r="H18" s="18" t="n">
        <x:f>AVERAGE(6,7,6,6)</x:f>
        <x:v>6.25</x:v>
      </x:c>
      <x:c r="I18" s="18" t="n">
        <x:f>AVERAGE(7,8,7,7)</x:f>
        <x:v>7.25</x:v>
      </x:c>
      <x:c r="J18" s="18" t="n">
        <x:f>AVERAGE(8,9,8,8)</x:f>
        <x:v>8.25</x:v>
      </x:c>
      <x:c r="K18" s="18" t="n">
        <x:f>AVERAGE(7,7,7,7)</x:f>
        <x:v>7</x:v>
      </x:c>
      <x:c r="L18" s="18" t="n">
        <x:f>AVERAGE(8,8,8,8)</x:f>
        <x:v>8</x:v>
      </x:c>
      <x:c r="M18" s="18" t="n">
        <x:f>AVERAGE(9,9,9,9)</x:f>
        <x:v>9</x:v>
      </x:c>
      <x:c r="N18" s="18" t="n">
        <x:f>AVERAGE(2,1,3,2)</x:f>
        <x:v>2</x:v>
      </x:c>
      <x:c r="O18" s="18" t="n">
        <x:f>AVERAGE(3,2,4,3)</x:f>
        <x:v>3</x:v>
      </x:c>
      <x:c r="P18" s="18" t="n">
        <x:f>AVERAGE(4,3,5,4)</x:f>
        <x:v>4</x:v>
      </x:c>
      <x:c r="Q18" s="18" t="n">
        <x:f>AVERAGE(6,6,6,6)</x:f>
        <x:v>6</x:v>
      </x:c>
      <x:c r="R18" s="18" t="n">
        <x:f>AVERAGE(7,7,7,7)</x:f>
        <x:v>7</x:v>
      </x:c>
      <x:c r="S18" s="18" t="n">
        <x:f>AVERAGE(8,8,8,8)</x:f>
        <x:v>8</x:v>
      </x:c>
      <x:c r="T18" s="18" t="n">
        <x:f>AVERAGE(9,8,9,8)</x:f>
        <x:v>8.5</x:v>
      </x:c>
      <x:c r="U18" s="18" t="n">
        <x:f>AVERAGE(10,9,10,9)</x:f>
        <x:v>9.5</x:v>
      </x:c>
      <x:c r="V18" s="18" t="n">
        <x:f t="shared" ref="V18:V19" si="9">AVERAGE(10,10,10,10)</x:f>
        <x:v>10</x:v>
      </x:c>
    </x:row>
    <x:row r="19" ht="14.25" customHeight="1">
      <x:c r="A19" s="9" t="s">
        <x:v>34</x:v>
      </x:c>
      <x:c r="B19" s="18" t="n">
        <x:f>AVERAGE(6,6,6,7)</x:f>
        <x:v>6.25</x:v>
      </x:c>
      <x:c r="C19" s="18" t="n">
        <x:f>AVERAGE(7,7,7,8)</x:f>
        <x:v>7.25</x:v>
      </x:c>
      <x:c r="D19" s="18" t="n">
        <x:f>AVERAGE(8,8,8,9)</x:f>
        <x:v>8.25</x:v>
      </x:c>
      <x:c r="E19" s="18" t="n">
        <x:f>AVERAGE(8,6,7,8)</x:f>
        <x:v>7.25</x:v>
      </x:c>
      <x:c r="F19" s="18" t="n">
        <x:f>AVERAGE(9,7,8,9)</x:f>
        <x:v>8.25</x:v>
      </x:c>
      <x:c r="G19" s="18" t="n">
        <x:f>AVERAGE(10,8,9,10)</x:f>
        <x:v>9.25</x:v>
      </x:c>
      <x:c r="H19" s="18" t="n">
        <x:f>AVERAGE(8,8,8,9)</x:f>
        <x:v>8.25</x:v>
      </x:c>
      <x:c r="I19" s="18" t="n">
        <x:f>AVERAGE(9,9,9,10)</x:f>
        <x:v>9.25</x:v>
      </x:c>
      <x:c r="J19" s="18" t="n">
        <x:f>AVERAGE(10,10,10,10)</x:f>
        <x:v>10</x:v>
      </x:c>
      <x:c r="K19" s="18" t="n">
        <x:f>AVERAGE(8,5,8,9)</x:f>
        <x:v>7.5</x:v>
      </x:c>
      <x:c r="L19" s="18" t="n">
        <x:f>AVERAGE(9,6,9,10)</x:f>
        <x:v>8.5</x:v>
      </x:c>
      <x:c r="M19" s="18" t="n">
        <x:f t="shared" ref="M19:M21" si="10">AVERAGE(10,7,10,10)</x:f>
        <x:v>9.25</x:v>
      </x:c>
      <x:c r="N19" s="18" t="n">
        <x:f>AVERAGE(8,8,8,9)</x:f>
        <x:v>8.25</x:v>
      </x:c>
      <x:c r="O19" s="18" t="n">
        <x:f>AVERAGE(9,9,9,10)</x:f>
        <x:v>9.25</x:v>
      </x:c>
      <x:c r="P19" s="18" t="n">
        <x:f t="shared" ref="P19:P20" si="11">AVERAGE(10,10,10,10)</x:f>
        <x:v>10</x:v>
      </x:c>
      <x:c r="Q19" s="18" t="n">
        <x:f>AVERAGE(8,9,8,9)</x:f>
        <x:v>8.5</x:v>
      </x:c>
      <x:c r="R19" s="18" t="n">
        <x:f>AVERAGE(9,10,9,10)</x:f>
        <x:v>9.5</x:v>
      </x:c>
      <x:c r="S19" s="18" t="n">
        <x:f>AVERAGE(10,10,10,10)</x:f>
        <x:v>10</x:v>
      </x:c>
      <x:c r="T19" s="18" t="n">
        <x:f>AVERAGE(8,8,8,8)</x:f>
        <x:v>8</x:v>
      </x:c>
      <x:c r="U19" s="18" t="n">
        <x:f>AVERAGE(9,9,9,9)</x:f>
        <x:v>9</x:v>
      </x:c>
      <x:c r="V19" s="18">
        <x:f t="shared" si="9"/>
        <x:v>10</x:v>
      </x:c>
    </x:row>
    <x:row r="20" ht="14.25" customHeight="1">
      <x:c r="A20" s="9" t="s">
        <x:v>35</x:v>
      </x:c>
      <x:c r="B20" s="18" t="n">
        <x:f>AVERAGE(5,5,5,5)</x:f>
        <x:v>5</x:v>
      </x:c>
      <x:c r="C20" s="18" t="n">
        <x:f>AVERAGE(6,6,6,6)</x:f>
        <x:v>6</x:v>
      </x:c>
      <x:c r="D20" s="18" t="n">
        <x:f>AVERAGE(7,7,7,7)</x:f>
        <x:v>7</x:v>
      </x:c>
      <x:c r="E20" s="18" t="n">
        <x:f>AVERAGE(8,6,8,7)</x:f>
        <x:v>7.25</x:v>
      </x:c>
      <x:c r="F20" s="18" t="n">
        <x:f>AVERAGE(9,7,9,8)</x:f>
        <x:v>8.25</x:v>
      </x:c>
      <x:c r="G20" s="18" t="n">
        <x:f>AVERAGE(10,8,10,9)</x:f>
        <x:v>9.25</x:v>
      </x:c>
      <x:c r="H20" s="18" t="n">
        <x:f>AVERAGE(9,7,9,8)</x:f>
        <x:v>8.25</x:v>
      </x:c>
      <x:c r="I20" s="18" t="n">
        <x:f>AVERAGE(10,8,10,9)</x:f>
        <x:v>9.25</x:v>
      </x:c>
      <x:c r="J20" s="18" t="n">
        <x:f t="shared" ref="J20:J21" si="14">AVERAGE(10,9,10,10)</x:f>
        <x:v>9.75</x:v>
      </x:c>
      <x:c r="K20" s="18" t="n">
        <x:f>AVERAGE(8,5,9,8)</x:f>
        <x:v>7.5</x:v>
      </x:c>
      <x:c r="L20" s="18" t="n">
        <x:f>AVERAGE(9,6,10,9)</x:f>
        <x:v>8.5</x:v>
      </x:c>
      <x:c r="M20" s="18">
        <x:f t="shared" si="10"/>
        <x:v>9.25</x:v>
      </x:c>
      <x:c r="N20" s="18" t="n">
        <x:f>AVERAGE(8,8,9,8)</x:f>
        <x:v>8.25</x:v>
      </x:c>
      <x:c r="O20" s="18" t="n">
        <x:f>AVERAGE(9,9,10,9)</x:f>
        <x:v>9.25</x:v>
      </x:c>
      <x:c r="P20" s="18">
        <x:f t="shared" si="11"/>
        <x:v>10</x:v>
      </x:c>
      <x:c r="Q20" s="18" t="n">
        <x:f t="shared" ref="Q20:Q21" si="16">AVERAGE(9,9,9,9)</x:f>
        <x:v>9</x:v>
      </x:c>
      <x:c r="R20" s="18" t="n">
        <x:f t="shared" ref="R20:S20" si="12">AVERAGE(10,10,10,10)</x:f>
        <x:v>10</x:v>
      </x:c>
      <x:c r="S20" s="18">
        <x:f t="shared" si="12"/>
        <x:v>10</x:v>
      </x:c>
      <x:c r="T20" s="18" t="n">
        <x:f t="shared" ref="T20:T21" si="18">AVERAGE(9,9,9,9)</x:f>
        <x:v>9</x:v>
      </x:c>
      <x:c r="U20" s="18" t="n">
        <x:f t="shared" ref="U20:V20" si="13">AVERAGE(10,10,10,10)</x:f>
        <x:v>10</x:v>
      </x:c>
      <x:c r="V20" s="18">
        <x:f t="shared" si="13"/>
        <x:v>10</x:v>
      </x:c>
    </x:row>
    <x:row r="21" ht="14.25" customHeight="1">
      <x:c r="A21" s="9" t="s">
        <x:v>36</x:v>
      </x:c>
      <x:c r="B21" s="18" t="n">
        <x:f>AVERAGE(6,6,6,6)</x:f>
        <x:v>6</x:v>
      </x:c>
      <x:c r="C21" s="18" t="n">
        <x:f>AVERAGE(7,7,7,7)</x:f>
        <x:v>7</x:v>
      </x:c>
      <x:c r="D21" s="18" t="n">
        <x:f>AVERAGE(8,8,8,8)</x:f>
        <x:v>8</x:v>
      </x:c>
      <x:c r="E21" s="18" t="n">
        <x:f>AVERAGE(8,6,8,8)</x:f>
        <x:v>7.5</x:v>
      </x:c>
      <x:c r="F21" s="18" t="n">
        <x:f>AVERAGE(9,7,9,9)</x:f>
        <x:v>8.5</x:v>
      </x:c>
      <x:c r="G21" s="18" t="n">
        <x:f>AVERAGE(10,8,10,10)</x:f>
        <x:v>9.5</x:v>
      </x:c>
      <x:c r="H21" s="18" t="n">
        <x:f>AVERAGE(9,7,9,9)</x:f>
        <x:v>8.5</x:v>
      </x:c>
      <x:c r="I21" s="18" t="n">
        <x:f>AVERAGE(10,8,10,10)</x:f>
        <x:v>9.5</x:v>
      </x:c>
      <x:c r="J21" s="18">
        <x:f t="shared" si="14"/>
        <x:v>9.75</x:v>
      </x:c>
      <x:c r="K21" s="18" t="n">
        <x:f>AVERAGE(9,5,9,9)</x:f>
        <x:v>8</x:v>
      </x:c>
      <x:c r="L21" s="18" t="n">
        <x:f>AVERAGE(10,6,10,10)</x:f>
        <x:v>9</x:v>
      </x:c>
      <x:c r="M21" s="18">
        <x:f t="shared" si="10"/>
        <x:v>9.25</x:v>
      </x:c>
      <x:c r="N21" s="18" t="n">
        <x:f>AVERAGE(9,9,9,9)</x:f>
        <x:v>9</x:v>
      </x:c>
      <x:c r="O21" s="18" t="n">
        <x:f t="shared" ref="O21:P21" si="15">AVERAGE(10,10,10,10)</x:f>
        <x:v>10</x:v>
      </x:c>
      <x:c r="P21" s="18">
        <x:f t="shared" si="15"/>
        <x:v>10</x:v>
      </x:c>
      <x:c r="Q21" s="18">
        <x:f t="shared" si="16"/>
        <x:v>9</x:v>
      </x:c>
      <x:c r="R21" s="18" t="n">
        <x:f t="shared" ref="R21:S21" si="17">AVERAGE(10,10,10,10)</x:f>
        <x:v>10</x:v>
      </x:c>
      <x:c r="S21" s="18">
        <x:f t="shared" si="17"/>
        <x:v>10</x:v>
      </x:c>
      <x:c r="T21" s="18">
        <x:f t="shared" si="18"/>
        <x:v>9</x:v>
      </x:c>
      <x:c r="U21" s="18" t="n">
        <x:f t="shared" ref="U21:V21" si="19">AVERAGE(10,10,10,10)</x:f>
        <x:v>10</x:v>
      </x:c>
      <x:c r="V21" s="18">
        <x:f t="shared" si="19"/>
        <x:v>10</x:v>
      </x:c>
    </x:row>
    <x:row r="22" ht="14.25" customHeight="1">
      <x:c r="A22" s="9" t="s">
        <x:v>37</x:v>
      </x:c>
      <x:c r="B22" s="18" t="n">
        <x:f>AVERAGE(5,5,5,5)</x:f>
        <x:v>5</x:v>
      </x:c>
      <x:c r="C22" s="18" t="n">
        <x:f>AVERAGE(6,6,6,6)</x:f>
        <x:v>6</x:v>
      </x:c>
      <x:c r="D22" s="18" t="n">
        <x:f>AVERAGE(7,7,7,7)</x:f>
        <x:v>7</x:v>
      </x:c>
      <x:c r="E22" s="18" t="n">
        <x:f>AVERAGE(6,6,6,6)</x:f>
        <x:v>6</x:v>
      </x:c>
      <x:c r="F22" s="18" t="n">
        <x:f>AVERAGE(7,7,7,7)</x:f>
        <x:v>7</x:v>
      </x:c>
      <x:c r="G22" s="18" t="n">
        <x:f>AVERAGE(8,8,8,8)</x:f>
        <x:v>8</x:v>
      </x:c>
      <x:c r="H22" s="18" t="n">
        <x:f>AVERAGE(7,7,7,7)</x:f>
        <x:v>7</x:v>
      </x:c>
      <x:c r="I22" s="18" t="n">
        <x:f>AVERAGE(8,8,8,8)</x:f>
        <x:v>8</x:v>
      </x:c>
      <x:c r="J22" s="18" t="n">
        <x:f>AVERAGE(9,9,9,9)</x:f>
        <x:v>9</x:v>
      </x:c>
      <x:c r="K22" s="18" t="n">
        <x:f>AVERAGE(8,7,8,8)</x:f>
        <x:v>7.75</x:v>
      </x:c>
      <x:c r="L22" s="18" t="n">
        <x:f>AVERAGE(9,8,9,9)</x:f>
        <x:v>8.75</x:v>
      </x:c>
      <x:c r="M22" s="18" t="n">
        <x:f>AVERAGE(10,9,10,10)</x:f>
        <x:v>9.75</x:v>
      </x:c>
      <x:c r="N22" s="18" t="n">
        <x:f>AVERAGE(7,7,7,7)</x:f>
        <x:v>7</x:v>
      </x:c>
      <x:c r="O22" s="18" t="n">
        <x:f>AVERAGE(8,8,8,8)</x:f>
        <x:v>8</x:v>
      </x:c>
      <x:c r="P22" s="18" t="n">
        <x:f>AVERAGE(9,9,9,9)</x:f>
        <x:v>9</x:v>
      </x:c>
      <x:c r="Q22" s="18" t="n">
        <x:f>AVERAGE(7,7,7,7)</x:f>
        <x:v>7</x:v>
      </x:c>
      <x:c r="R22" s="18" t="n">
        <x:f>AVERAGE(8,8,8,8)</x:f>
        <x:v>8</x:v>
      </x:c>
      <x:c r="S22" s="18" t="n">
        <x:f>AVERAGE(9,9,9,9)</x:f>
        <x:v>9</x:v>
      </x:c>
      <x:c r="T22" s="18" t="n">
        <x:f>AVERAGE(8,8,8,7)</x:f>
        <x:v>7.75</x:v>
      </x:c>
      <x:c r="U22" s="18" t="n">
        <x:f>AVERAGE(9,9,9,8)</x:f>
        <x:v>8.75</x:v>
      </x:c>
      <x:c r="V22" s="18" t="n">
        <x:f>AVERAGE(10,10,10,9)</x:f>
        <x:v>9.75</x:v>
      </x:c>
    </x:row>
    <x:row r="23" ht="14.25" customHeight="1"/>
    <x:row r="24" ht="14.25" customHeight="1"/>
    <x:row r="25" ht="14.25" customHeight="1">
      <x:c r="A25" s="5" t="s">
        <x:v>81</x:v>
      </x:c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7"/>
    </x:row>
    <x:row r="26" ht="14.25" customHeight="1">
      <x:c r="A26" s="8" t="s">
        <x:v>28</x:v>
      </x:c>
      <x:c r="B26" s="8" t="s">
        <x:v>60</x:v>
      </x:c>
      <x:c r="C26" s="8" t="s">
        <x:v>61</x:v>
      </x:c>
      <x:c r="D26" s="8" t="s">
        <x:v>62</x:v>
      </x:c>
      <x:c r="E26" s="8" t="s">
        <x:v>63</x:v>
      </x:c>
      <x:c r="F26" s="8" t="s">
        <x:v>64</x:v>
      </x:c>
      <x:c r="G26" s="8" t="s">
        <x:v>65</x:v>
      </x:c>
      <x:c r="H26" s="8" t="s">
        <x:v>66</x:v>
      </x:c>
      <x:c r="I26" s="8" t="s">
        <x:v>67</x:v>
      </x:c>
      <x:c r="J26" s="8" t="s">
        <x:v>68</x:v>
      </x:c>
      <x:c r="K26" s="8" t="s">
        <x:v>69</x:v>
      </x:c>
      <x:c r="L26" s="8" t="s">
        <x:v>70</x:v>
      </x:c>
      <x:c r="M26" s="8" t="s">
        <x:v>71</x:v>
      </x:c>
      <x:c r="N26" s="8" t="s">
        <x:v>72</x:v>
      </x:c>
      <x:c r="O26" s="8" t="s">
        <x:v>73</x:v>
      </x:c>
      <x:c r="P26" s="8" t="s">
        <x:v>74</x:v>
      </x:c>
      <x:c r="Q26" s="8" t="s">
        <x:v>75</x:v>
      </x:c>
      <x:c r="R26" s="8" t="s">
        <x:v>76</x:v>
      </x:c>
      <x:c r="S26" s="8" t="s">
        <x:v>77</x:v>
      </x:c>
      <x:c r="T26" s="8" t="s">
        <x:v>78</x:v>
      </x:c>
      <x:c r="U26" s="8" t="s">
        <x:v>79</x:v>
      </x:c>
      <x:c r="V26" s="8" t="s">
        <x:v>80</x:v>
      </x:c>
    </x:row>
    <x:row r="27" ht="14.25" customHeight="1">
      <x:c r="A27" s="9" t="s">
        <x:v>29</x:v>
      </x:c>
      <x:c r="B27" s="18" t="n">
        <x:f t="shared" ref="B27:D27" si="20">B17/MAX($D$17:$D$22)</x:f>
        <x:v>0.8</x:v>
      </x:c>
      <x:c r="C27" s="18">
        <x:f t="shared" si="20"/>
        <x:v>0.9</x:v>
      </x:c>
      <x:c r="D27" s="18">
        <x:f t="shared" si="20"/>
        <x:v>1</x:v>
      </x:c>
      <x:c r="E27" s="18" t="n">
        <x:f t="shared" ref="E27:G27" si="21">E17/MAX($G$17:$G$22)</x:f>
        <x:v>0.7368421052631579</x:v>
      </x:c>
      <x:c r="F27" s="18">
        <x:f t="shared" si="21"/>
        <x:v>0.8421052632</x:v>
      </x:c>
      <x:c r="G27" s="18">
        <x:f t="shared" si="21"/>
        <x:v>0.9736842105</x:v>
      </x:c>
      <x:c r="H27" s="18" t="n">
        <x:f t="shared" ref="H27:J27" si="22">H17/MAX($J$17:$J$22)</x:f>
        <x:v>0.875</x:v>
      </x:c>
      <x:c r="I27" s="18">
        <x:f t="shared" si="22"/>
        <x:v>0.975</x:v>
      </x:c>
      <x:c r="J27" s="18">
        <x:f t="shared" si="22"/>
        <x:v>1</x:v>
      </x:c>
      <x:c r="K27" s="18" t="n">
        <x:f t="shared" ref="K27:M27" si="23">K17/MAX($M$17:$M$22)</x:f>
        <x:v>0.5384615384615384</x:v>
      </x:c>
      <x:c r="L27" s="18">
        <x:f t="shared" si="23"/>
        <x:v>0.641025641</x:v>
      </x:c>
      <x:c r="M27" s="18">
        <x:f t="shared" si="23"/>
        <x:v>0.7435897436</x:v>
      </x:c>
      <x:c r="N27" s="18" t="n">
        <x:f t="shared" ref="N27:P27" si="24">N17/MAX($P$17:$P$22)</x:f>
        <x:v>0.9</x:v>
      </x:c>
      <x:c r="O27" s="18">
        <x:f t="shared" si="24"/>
        <x:v>1</x:v>
      </x:c>
      <x:c r="P27" s="18">
        <x:f t="shared" si="24"/>
        <x:v>1</x:v>
      </x:c>
      <x:c r="Q27" s="18" t="n">
        <x:f t="shared" ref="Q27:S27" si="25">Q17/MAX($S$17:$S$22)</x:f>
        <x:v>0.85</x:v>
      </x:c>
      <x:c r="R27" s="18">
        <x:f t="shared" si="25"/>
        <x:v>0.95</x:v>
      </x:c>
      <x:c r="S27" s="18">
        <x:f t="shared" si="25"/>
        <x:v>1</x:v>
      </x:c>
      <x:c r="T27" s="18" t="n">
        <x:f t="shared" ref="T27:V27" si="26">T17/MAX($V$17:$V$22)</x:f>
        <x:v>0.8</x:v>
      </x:c>
      <x:c r="U27" s="18">
        <x:f t="shared" si="26"/>
        <x:v>0.9</x:v>
      </x:c>
      <x:c r="V27" s="18">
        <x:f t="shared" si="26"/>
        <x:v>0.975</x:v>
      </x:c>
    </x:row>
    <x:row r="28" ht="14.25" customHeight="1">
      <x:c r="A28" s="9" t="s">
        <x:v>31</x:v>
      </x:c>
      <x:c r="B28" s="18" t="n">
        <x:f t="shared" ref="B28:D28" si="27">B18/MAX($D$17:$D$22)</x:f>
        <x:v>0.325</x:v>
      </x:c>
      <x:c r="C28" s="18">
        <x:f t="shared" si="27"/>
        <x:v>0.425</x:v>
      </x:c>
      <x:c r="D28" s="18">
        <x:f t="shared" si="27"/>
        <x:v>0.525</x:v>
      </x:c>
      <x:c r="E28" s="18" t="n">
        <x:f t="shared" ref="E28:G28" si="28">E18/MAX($G$17:$G$22)</x:f>
        <x:v>0.6578947368421053</x:v>
      </x:c>
      <x:c r="F28" s="18">
        <x:f t="shared" si="28"/>
        <x:v>0.7631578947</x:v>
      </x:c>
      <x:c r="G28" s="18">
        <x:f t="shared" si="28"/>
        <x:v>0.8947368421</x:v>
      </x:c>
      <x:c r="H28" s="18" t="n">
        <x:f t="shared" ref="H28:J28" si="29">H18/MAX($J$17:$J$22)</x:f>
        <x:v>0.625</x:v>
      </x:c>
      <x:c r="I28" s="18">
        <x:f t="shared" si="29"/>
        <x:v>0.725</x:v>
      </x:c>
      <x:c r="J28" s="18">
        <x:f t="shared" si="29"/>
        <x:v>0.825</x:v>
      </x:c>
      <x:c r="K28" s="18" t="n">
        <x:f t="shared" ref="K28:M28" si="30">K18/MAX($M$17:$M$22)</x:f>
        <x:v>0.717948717948718</x:v>
      </x:c>
      <x:c r="L28" s="18">
        <x:f t="shared" si="30"/>
        <x:v>0.8205128205</x:v>
      </x:c>
      <x:c r="M28" s="18">
        <x:f t="shared" si="30"/>
        <x:v>0.9230769231</x:v>
      </x:c>
      <x:c r="N28" s="18" t="n">
        <x:f t="shared" ref="N28:P28" si="31">N18/MAX($P$17:$P$22)</x:f>
        <x:v>0.2</x:v>
      </x:c>
      <x:c r="O28" s="18">
        <x:f t="shared" si="31"/>
        <x:v>0.3</x:v>
      </x:c>
      <x:c r="P28" s="18">
        <x:f t="shared" si="31"/>
        <x:v>0.4</x:v>
      </x:c>
      <x:c r="Q28" s="18" t="n">
        <x:f t="shared" ref="Q28:S28" si="32">Q18/MAX($S$17:$S$22)</x:f>
        <x:v>0.6</x:v>
      </x:c>
      <x:c r="R28" s="18">
        <x:f t="shared" si="32"/>
        <x:v>0.7</x:v>
      </x:c>
      <x:c r="S28" s="18">
        <x:f t="shared" si="32"/>
        <x:v>0.8</x:v>
      </x:c>
      <x:c r="T28" s="18" t="n">
        <x:f t="shared" ref="T28:V28" si="33">T18/MAX($V$17:$V$22)</x:f>
        <x:v>0.85</x:v>
      </x:c>
      <x:c r="U28" s="18">
        <x:f t="shared" si="33"/>
        <x:v>0.95</x:v>
      </x:c>
      <x:c r="V28" s="18">
        <x:f t="shared" si="33"/>
        <x:v>1</x:v>
      </x:c>
    </x:row>
    <x:row r="29" ht="14.25" customHeight="1">
      <x:c r="A29" s="9" t="s">
        <x:v>34</x:v>
      </x:c>
      <x:c r="B29" s="18" t="n">
        <x:f t="shared" ref="B29:D29" si="34">B19/MAX($D$17:$D$22)</x:f>
        <x:v>0.625</x:v>
      </x:c>
      <x:c r="C29" s="18">
        <x:f t="shared" si="34"/>
        <x:v>0.725</x:v>
      </x:c>
      <x:c r="D29" s="18">
        <x:f t="shared" si="34"/>
        <x:v>0.825</x:v>
      </x:c>
      <x:c r="E29" s="18" t="n">
        <x:f t="shared" ref="E29:G29" si="35">E19/MAX($G$17:$G$22)</x:f>
        <x:v>0.7631578947368421</x:v>
      </x:c>
      <x:c r="F29" s="18">
        <x:f t="shared" si="35"/>
        <x:v>0.8684210526</x:v>
      </x:c>
      <x:c r="G29" s="18">
        <x:f t="shared" si="35"/>
        <x:v>0.9736842105</x:v>
      </x:c>
      <x:c r="H29" s="18" t="n">
        <x:f t="shared" ref="H29:J29" si="36">H19/MAX($J$17:$J$22)</x:f>
        <x:v>0.825</x:v>
      </x:c>
      <x:c r="I29" s="18">
        <x:f t="shared" si="36"/>
        <x:v>0.925</x:v>
      </x:c>
      <x:c r="J29" s="18">
        <x:f t="shared" si="36"/>
        <x:v>1</x:v>
      </x:c>
      <x:c r="K29" s="18" t="n">
        <x:f t="shared" ref="K29:M29" si="37">K19/MAX($M$17:$M$22)</x:f>
        <x:v>0.7692307692307693</x:v>
      </x:c>
      <x:c r="L29" s="18">
        <x:f t="shared" si="37"/>
        <x:v>0.8717948718</x:v>
      </x:c>
      <x:c r="M29" s="18">
        <x:f t="shared" si="37"/>
        <x:v>0.9487179487</x:v>
      </x:c>
      <x:c r="N29" s="18" t="n">
        <x:f t="shared" ref="N29:P29" si="38">N19/MAX($P$17:$P$22)</x:f>
        <x:v>0.825</x:v>
      </x:c>
      <x:c r="O29" s="18">
        <x:f t="shared" si="38"/>
        <x:v>0.925</x:v>
      </x:c>
      <x:c r="P29" s="18">
        <x:f t="shared" si="38"/>
        <x:v>1</x:v>
      </x:c>
      <x:c r="Q29" s="18" t="n">
        <x:f t="shared" ref="Q29:S29" si="39">Q19/MAX($S$17:$S$22)</x:f>
        <x:v>0.85</x:v>
      </x:c>
      <x:c r="R29" s="18">
        <x:f t="shared" si="39"/>
        <x:v>0.95</x:v>
      </x:c>
      <x:c r="S29" s="18">
        <x:f t="shared" si="39"/>
        <x:v>1</x:v>
      </x:c>
      <x:c r="T29" s="18" t="n">
        <x:f t="shared" ref="T29:V29" si="40">T19/MAX($V$17:$V$22)</x:f>
        <x:v>0.8</x:v>
      </x:c>
      <x:c r="U29" s="18">
        <x:f t="shared" si="40"/>
        <x:v>0.9</x:v>
      </x:c>
      <x:c r="V29" s="18">
        <x:f t="shared" si="40"/>
        <x:v>1</x:v>
      </x:c>
    </x:row>
    <x:row r="30" ht="14.25" customHeight="1">
      <x:c r="A30" s="9" t="s">
        <x:v>35</x:v>
      </x:c>
      <x:c r="B30" s="18" t="n">
        <x:f t="shared" ref="B30:D30" si="41">B20/MAX($D$17:$D$22)</x:f>
        <x:v>0.5</x:v>
      </x:c>
      <x:c r="C30" s="18">
        <x:f t="shared" si="41"/>
        <x:v>0.6</x:v>
      </x:c>
      <x:c r="D30" s="18">
        <x:f t="shared" si="41"/>
        <x:v>0.7</x:v>
      </x:c>
      <x:c r="E30" s="18" t="n">
        <x:f t="shared" ref="E30:G30" si="42">E20/MAX($G$17:$G$22)</x:f>
        <x:v>0.7631578947368421</x:v>
      </x:c>
      <x:c r="F30" s="18">
        <x:f t="shared" si="42"/>
        <x:v>0.8684210526</x:v>
      </x:c>
      <x:c r="G30" s="18">
        <x:f t="shared" si="42"/>
        <x:v>0.9736842105</x:v>
      </x:c>
      <x:c r="H30" s="18" t="n">
        <x:f t="shared" ref="H30:J30" si="43">H20/MAX($J$17:$J$22)</x:f>
        <x:v>0.825</x:v>
      </x:c>
      <x:c r="I30" s="18">
        <x:f t="shared" si="43"/>
        <x:v>0.925</x:v>
      </x:c>
      <x:c r="J30" s="18">
        <x:f t="shared" si="43"/>
        <x:v>0.975</x:v>
      </x:c>
      <x:c r="K30" s="18" t="n">
        <x:f t="shared" ref="K30:M30" si="44">K20/MAX($M$17:$M$22)</x:f>
        <x:v>0.7692307692307693</x:v>
      </x:c>
      <x:c r="L30" s="18">
        <x:f t="shared" si="44"/>
        <x:v>0.8717948718</x:v>
      </x:c>
      <x:c r="M30" s="18">
        <x:f t="shared" si="44"/>
        <x:v>0.9487179487</x:v>
      </x:c>
      <x:c r="N30" s="18" t="n">
        <x:f t="shared" ref="N30:P30" si="45">N20/MAX($P$17:$P$22)</x:f>
        <x:v>0.825</x:v>
      </x:c>
      <x:c r="O30" s="18">
        <x:f t="shared" si="45"/>
        <x:v>0.925</x:v>
      </x:c>
      <x:c r="P30" s="18">
        <x:f t="shared" si="45"/>
        <x:v>1</x:v>
      </x:c>
      <x:c r="Q30" s="18" t="n">
        <x:f t="shared" ref="Q30:S30" si="46">Q20/MAX($S$17:$S$22)</x:f>
        <x:v>0.9</x:v>
      </x:c>
      <x:c r="R30" s="18">
        <x:f t="shared" si="46"/>
        <x:v>1</x:v>
      </x:c>
      <x:c r="S30" s="18">
        <x:f t="shared" si="46"/>
        <x:v>1</x:v>
      </x:c>
      <x:c r="T30" s="18" t="n">
        <x:f t="shared" ref="T30:V30" si="47">T20/MAX($V$17:$V$22)</x:f>
        <x:v>0.9</x:v>
      </x:c>
      <x:c r="U30" s="18">
        <x:f t="shared" si="47"/>
        <x:v>1</x:v>
      </x:c>
      <x:c r="V30" s="18">
        <x:f t="shared" si="47"/>
        <x:v>1</x:v>
      </x:c>
    </x:row>
    <x:row r="31" ht="14.25" customHeight="1">
      <x:c r="A31" s="9" t="s">
        <x:v>36</x:v>
      </x:c>
      <x:c r="B31" s="18" t="n">
        <x:f t="shared" ref="B31:D31" si="48">B21/MAX($D$17:$D$22)</x:f>
        <x:v>0.6</x:v>
      </x:c>
      <x:c r="C31" s="18">
        <x:f t="shared" si="48"/>
        <x:v>0.7</x:v>
      </x:c>
      <x:c r="D31" s="18">
        <x:f t="shared" si="48"/>
        <x:v>0.8</x:v>
      </x:c>
      <x:c r="E31" s="18" t="n">
        <x:f t="shared" ref="E31:G31" si="49">E21/MAX($G$17:$G$22)</x:f>
        <x:v>0.7894736842105263</x:v>
      </x:c>
      <x:c r="F31" s="18">
        <x:f t="shared" si="49"/>
        <x:v>0.8947368421</x:v>
      </x:c>
      <x:c r="G31" s="18">
        <x:f t="shared" si="49"/>
        <x:v>1</x:v>
      </x:c>
      <x:c r="H31" s="18" t="n">
        <x:f t="shared" ref="H31:J31" si="50">H21/MAX($J$17:$J$22)</x:f>
        <x:v>0.85</x:v>
      </x:c>
      <x:c r="I31" s="18">
        <x:f t="shared" si="50"/>
        <x:v>0.95</x:v>
      </x:c>
      <x:c r="J31" s="18">
        <x:f t="shared" si="50"/>
        <x:v>0.975</x:v>
      </x:c>
      <x:c r="K31" s="18" t="n">
        <x:f t="shared" ref="K31:M31" si="51">K21/MAX($M$17:$M$22)</x:f>
        <x:v>0.8205128205128205</x:v>
      </x:c>
      <x:c r="L31" s="18">
        <x:f t="shared" si="51"/>
        <x:v>0.9230769231</x:v>
      </x:c>
      <x:c r="M31" s="18">
        <x:f t="shared" si="51"/>
        <x:v>0.9487179487</x:v>
      </x:c>
      <x:c r="N31" s="18" t="n">
        <x:f t="shared" ref="N31:P31" si="52">N21/MAX($P$17:$P$22)</x:f>
        <x:v>0.9</x:v>
      </x:c>
      <x:c r="O31" s="18">
        <x:f t="shared" si="52"/>
        <x:v>1</x:v>
      </x:c>
      <x:c r="P31" s="18">
        <x:f t="shared" si="52"/>
        <x:v>1</x:v>
      </x:c>
      <x:c r="Q31" s="18" t="n">
        <x:f t="shared" ref="Q31:S31" si="53">Q21/MAX($S$17:$S$22)</x:f>
        <x:v>0.9</x:v>
      </x:c>
      <x:c r="R31" s="18">
        <x:f t="shared" si="53"/>
        <x:v>1</x:v>
      </x:c>
      <x:c r="S31" s="18">
        <x:f t="shared" si="53"/>
        <x:v>1</x:v>
      </x:c>
      <x:c r="T31" s="18" t="n">
        <x:f t="shared" ref="T31:V31" si="54">T21/MAX($V$17:$V$22)</x:f>
        <x:v>0.9</x:v>
      </x:c>
      <x:c r="U31" s="18">
        <x:f t="shared" si="54"/>
        <x:v>1</x:v>
      </x:c>
      <x:c r="V31" s="18">
        <x:f t="shared" si="54"/>
        <x:v>1</x:v>
      </x:c>
    </x:row>
    <x:row r="32" ht="14.25" customHeight="1">
      <x:c r="A32" s="9" t="s">
        <x:v>37</x:v>
      </x:c>
      <x:c r="B32" s="18" t="n">
        <x:f t="shared" ref="B32:D32" si="55">B22/MAX($D$17:$D$22)</x:f>
        <x:v>0.5</x:v>
      </x:c>
      <x:c r="C32" s="18">
        <x:f t="shared" si="55"/>
        <x:v>0.6</x:v>
      </x:c>
      <x:c r="D32" s="18">
        <x:f t="shared" si="55"/>
        <x:v>0.7</x:v>
      </x:c>
      <x:c r="E32" s="18" t="n">
        <x:f t="shared" ref="E32:G32" si="56">E22/MAX($G$17:$G$22)</x:f>
        <x:v>0.631578947368421</x:v>
      </x:c>
      <x:c r="F32" s="18">
        <x:f t="shared" si="56"/>
        <x:v>0.7368421053</x:v>
      </x:c>
      <x:c r="G32" s="18">
        <x:f t="shared" si="56"/>
        <x:v>0.8421052632</x:v>
      </x:c>
      <x:c r="H32" s="18" t="n">
        <x:f t="shared" ref="H32:J32" si="57">H22/MAX($J$17:$J$22)</x:f>
        <x:v>0.7</x:v>
      </x:c>
      <x:c r="I32" s="18">
        <x:f t="shared" si="57"/>
        <x:v>0.8</x:v>
      </x:c>
      <x:c r="J32" s="18">
        <x:f t="shared" si="57"/>
        <x:v>0.9</x:v>
      </x:c>
      <x:c r="K32" s="18" t="n">
        <x:f t="shared" ref="K32:M32" si="58">K22/MAX($M$17:$M$22)</x:f>
        <x:v>0.7948717948717948</x:v>
      </x:c>
      <x:c r="L32" s="18">
        <x:f t="shared" si="58"/>
        <x:v>0.8974358974</x:v>
      </x:c>
      <x:c r="M32" s="18">
        <x:f t="shared" si="58"/>
        <x:v>1</x:v>
      </x:c>
      <x:c r="N32" s="18" t="n">
        <x:f t="shared" ref="N32:P32" si="59">N22/MAX($P$17:$P$22)</x:f>
        <x:v>0.7</x:v>
      </x:c>
      <x:c r="O32" s="18">
        <x:f t="shared" si="59"/>
        <x:v>0.8</x:v>
      </x:c>
      <x:c r="P32" s="18">
        <x:f t="shared" si="59"/>
        <x:v>0.9</x:v>
      </x:c>
      <x:c r="Q32" s="18" t="n">
        <x:f t="shared" ref="Q32:S32" si="60">Q22/MAX($S$17:$S$22)</x:f>
        <x:v>0.7</x:v>
      </x:c>
      <x:c r="R32" s="18">
        <x:f t="shared" si="60"/>
        <x:v>0.8</x:v>
      </x:c>
      <x:c r="S32" s="18">
        <x:f t="shared" si="60"/>
        <x:v>0.9</x:v>
      </x:c>
      <x:c r="T32" s="18" t="n">
        <x:f t="shared" ref="T32:V32" si="61">T22/MAX($V$17:$V$22)</x:f>
        <x:v>0.775</x:v>
      </x:c>
      <x:c r="U32" s="18">
        <x:f t="shared" si="61"/>
        <x:v>0.875</x:v>
      </x:c>
      <x:c r="V32" s="18">
        <x:f t="shared" si="61"/>
        <x:v>0.975</x:v>
      </x:c>
    </x:row>
    <x:row r="33" ht="14.25" customHeight="1"/>
    <x:row r="34" ht="14.25" customHeight="1"/>
    <x:row r="35" ht="14.25" customHeight="1">
      <x:c r="A35" s="5" t="s">
        <x:v>82</x:v>
      </x:c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7"/>
    </x:row>
    <x:row r="36" ht="14.25" customHeight="1">
      <x:c r="A36" s="8" t="s">
        <x:v>28</x:v>
      </x:c>
      <x:c r="B36" s="8" t="s">
        <x:v>60</x:v>
      </x:c>
      <x:c r="C36" s="8" t="s">
        <x:v>61</x:v>
      </x:c>
      <x:c r="D36" s="8" t="s">
        <x:v>62</x:v>
      </x:c>
      <x:c r="E36" s="8" t="s">
        <x:v>63</x:v>
      </x:c>
      <x:c r="F36" s="8" t="s">
        <x:v>64</x:v>
      </x:c>
      <x:c r="G36" s="8" t="s">
        <x:v>65</x:v>
      </x:c>
      <x:c r="H36" s="8" t="s">
        <x:v>66</x:v>
      </x:c>
      <x:c r="I36" s="8" t="s">
        <x:v>67</x:v>
      </x:c>
      <x:c r="J36" s="8" t="s">
        <x:v>68</x:v>
      </x:c>
      <x:c r="K36" s="8" t="s">
        <x:v>69</x:v>
      </x:c>
      <x:c r="L36" s="8" t="s">
        <x:v>70</x:v>
      </x:c>
      <x:c r="M36" s="8" t="s">
        <x:v>71</x:v>
      </x:c>
      <x:c r="N36" s="8" t="s">
        <x:v>72</x:v>
      </x:c>
      <x:c r="O36" s="8" t="s">
        <x:v>73</x:v>
      </x:c>
      <x:c r="P36" s="8" t="s">
        <x:v>74</x:v>
      </x:c>
      <x:c r="Q36" s="8" t="s">
        <x:v>75</x:v>
      </x:c>
      <x:c r="R36" s="8" t="s">
        <x:v>76</x:v>
      </x:c>
      <x:c r="S36" s="8" t="s">
        <x:v>77</x:v>
      </x:c>
      <x:c r="T36" s="8" t="s">
        <x:v>78</x:v>
      </x:c>
      <x:c r="U36" s="8" t="s">
        <x:v>79</x:v>
      </x:c>
      <x:c r="V36" s="8" t="s">
        <x:v>80</x:v>
      </x:c>
    </x:row>
    <x:row r="37" ht="14.25" customHeight="1">
      <x:c r="A37" s="9" t="s">
        <x:v>29</x:v>
      </x:c>
      <x:c r="B37" s="18" t="n">
        <x:f t="shared" ref="B37:B42" si="62">B27*$F$6</x:f>
        <x:v>0.6000000000000001</x:v>
      </x:c>
      <x:c r="C37" s="18" t="n">
        <x:f t="shared" ref="C37:C42" si="63">C27*$G$6</x:f>
        <x:v>0.765</x:v>
      </x:c>
      <x:c r="D37" s="18" t="n">
        <x:f t="shared" ref="D37:D42" si="64">D27*$H$6</x:f>
        <x:v>0.95</x:v>
      </x:c>
      <x:c r="E37" s="18" t="n">
        <x:f t="shared" ref="E37:E42" si="65">E27*$F$7</x:f>
        <x:v>0.5526315789473684</x:v>
      </x:c>
      <x:c r="F37" s="18" t="n">
        <x:f t="shared" ref="F37:F42" si="66">F27*$G$7</x:f>
        <x:v>0.71578947372</x:v>
      </x:c>
      <x:c r="G37" s="18" t="n">
        <x:f t="shared" ref="G37:G42" si="67">G27*$H$7</x:f>
        <x:v>0.9006578947125</x:v>
      </x:c>
      <x:c r="H37" s="18" t="n">
        <x:f t="shared" ref="H37:H42" si="68">H27*$F$8</x:f>
        <x:v>0.7218749999999999</x:v>
      </x:c>
      <x:c r="I37" s="18" t="n">
        <x:f t="shared" ref="I37:I42" si="69">I27*$G$8</x:f>
        <x:v>0.901875</x:v>
      </x:c>
      <x:c r="J37" s="18" t="n">
        <x:f t="shared" ref="J37:J42" si="70">J27*$H$8</x:f>
        <x:v>1</x:v>
      </x:c>
      <x:c r="K37" s="18" t="n">
        <x:f t="shared" ref="K37:K42" si="71">K27*$F$9</x:f>
        <x:v>0.40384615384615385</x:v>
      </x:c>
      <x:c r="L37" s="18" t="n">
        <x:f t="shared" ref="L37:L42" si="72">L27*$G$9</x:f>
        <x:v>0.54487179485</x:v>
      </x:c>
      <x:c r="M37" s="18" t="n">
        <x:f t="shared" ref="M37:M42" si="73">M27*$H$9</x:f>
        <x:v>0.7064102564199999</x:v>
      </x:c>
      <x:c r="N37" s="18" t="n">
        <x:f t="shared" ref="N37:N42" si="74">N27*$F$10</x:f>
        <x:v>0.6975</x:v>
      </x:c>
      <x:c r="O37" s="18" t="n">
        <x:f t="shared" ref="O37:O42" si="75">O27*$G$10</x:f>
        <x:v>0.875</x:v>
      </x:c>
      <x:c r="P37" s="18" t="n">
        <x:f t="shared" ref="P37:P42" si="76">P27*$H$10</x:f>
        <x:v>0.975</x:v>
      </x:c>
      <x:c r="Q37" s="18" t="n">
        <x:f t="shared" ref="Q37:Q42" si="77">Q27*$F$11</x:f>
        <x:v>0.7224999999999999</x:v>
      </x:c>
      <x:c r="R37" s="18" t="n">
        <x:f t="shared" ref="R37:R42" si="78">R27*$G$11</x:f>
        <x:v>0.9025</x:v>
      </x:c>
      <x:c r="S37" s="18" t="n">
        <x:f t="shared" ref="S37:S42" si="79">S27*$H$11</x:f>
        <x:v>1</x:v>
      </x:c>
      <x:c r="T37" s="18" t="n">
        <x:f t="shared" ref="T37:T42" si="80">T27*$F$12</x:f>
        <x:v>0.6400000000000001</x:v>
      </x:c>
      <x:c r="U37" s="18" t="n">
        <x:f t="shared" ref="U37:U42" si="81">U27*$G$12</x:f>
        <x:v>0.81</x:v>
      </x:c>
      <x:c r="V37" s="18" t="n">
        <x:f t="shared" ref="V37:V42" si="82">V27*$H$12</x:f>
        <x:v>0.9506249999999999</x:v>
      </x:c>
    </x:row>
    <x:row r="38" ht="14.25" customHeight="1">
      <x:c r="A38" s="9" t="s">
        <x:v>31</x:v>
      </x:c>
      <x:c r="B38" s="18">
        <x:f t="shared" si="62"/>
        <x:v>0.24375</x:v>
      </x:c>
      <x:c r="C38" s="18">
        <x:f t="shared" si="63"/>
        <x:v>0.36125</x:v>
      </x:c>
      <x:c r="D38" s="18">
        <x:f t="shared" si="64"/>
        <x:v>0.49875</x:v>
      </x:c>
      <x:c r="E38" s="18">
        <x:f t="shared" si="65"/>
        <x:v>0.4934210526</x:v>
      </x:c>
      <x:c r="F38" s="18">
        <x:f t="shared" si="66"/>
        <x:v>0.6486842105</x:v>
      </x:c>
      <x:c r="G38" s="18">
        <x:f t="shared" si="67"/>
        <x:v>0.8276315789</x:v>
      </x:c>
      <x:c r="H38" s="18">
        <x:f t="shared" si="68"/>
        <x:v>0.515625</x:v>
      </x:c>
      <x:c r="I38" s="18">
        <x:f t="shared" si="69"/>
        <x:v>0.670625</x:v>
      </x:c>
      <x:c r="J38" s="18">
        <x:f t="shared" si="70"/>
        <x:v>0.825</x:v>
      </x:c>
      <x:c r="K38" s="18">
        <x:f t="shared" si="71"/>
        <x:v>0.5384615385</x:v>
      </x:c>
      <x:c r="L38" s="18">
        <x:f t="shared" si="72"/>
        <x:v>0.6974358974</x:v>
      </x:c>
      <x:c r="M38" s="18">
        <x:f t="shared" si="73"/>
        <x:v>0.8769230769</x:v>
      </x:c>
      <x:c r="N38" s="18">
        <x:f t="shared" si="74"/>
        <x:v>0.155</x:v>
      </x:c>
      <x:c r="O38" s="18">
        <x:f t="shared" si="75"/>
        <x:v>0.2625</x:v>
      </x:c>
      <x:c r="P38" s="18">
        <x:f t="shared" si="76"/>
        <x:v>0.39</x:v>
      </x:c>
      <x:c r="Q38" s="18">
        <x:f t="shared" si="77"/>
        <x:v>0.51</x:v>
      </x:c>
      <x:c r="R38" s="18">
        <x:f t="shared" si="78"/>
        <x:v>0.665</x:v>
      </x:c>
      <x:c r="S38" s="18">
        <x:f t="shared" si="79"/>
        <x:v>0.8</x:v>
      </x:c>
      <x:c r="T38" s="18">
        <x:f t="shared" si="80"/>
        <x:v>0.68</x:v>
      </x:c>
      <x:c r="U38" s="18">
        <x:f t="shared" si="81"/>
        <x:v>0.855</x:v>
      </x:c>
      <x:c r="V38" s="18">
        <x:f t="shared" si="82"/>
        <x:v>0.975</x:v>
      </x:c>
    </x:row>
    <x:row r="39" ht="14.25" customHeight="1">
      <x:c r="A39" s="9" t="s">
        <x:v>34</x:v>
      </x:c>
      <x:c r="B39" s="18">
        <x:f t="shared" si="62"/>
        <x:v>0.46875</x:v>
      </x:c>
      <x:c r="C39" s="18">
        <x:f t="shared" si="63"/>
        <x:v>0.61625</x:v>
      </x:c>
      <x:c r="D39" s="18">
        <x:f t="shared" si="64"/>
        <x:v>0.78375</x:v>
      </x:c>
      <x:c r="E39" s="18">
        <x:f t="shared" si="65"/>
        <x:v>0.5723684211</x:v>
      </x:c>
      <x:c r="F39" s="18">
        <x:f t="shared" si="66"/>
        <x:v>0.7381578947</x:v>
      </x:c>
      <x:c r="G39" s="18">
        <x:f t="shared" si="67"/>
        <x:v>0.9006578947</x:v>
      </x:c>
      <x:c r="H39" s="18">
        <x:f t="shared" si="68"/>
        <x:v>0.680625</x:v>
      </x:c>
      <x:c r="I39" s="18">
        <x:f t="shared" si="69"/>
        <x:v>0.855625</x:v>
      </x:c>
      <x:c r="J39" s="18">
        <x:f t="shared" si="70"/>
        <x:v>1</x:v>
      </x:c>
      <x:c r="K39" s="18">
        <x:f t="shared" si="71"/>
        <x:v>0.5769230769</x:v>
      </x:c>
      <x:c r="L39" s="18">
        <x:f t="shared" si="72"/>
        <x:v>0.741025641</x:v>
      </x:c>
      <x:c r="M39" s="18">
        <x:f t="shared" si="73"/>
        <x:v>0.9012820513</x:v>
      </x:c>
      <x:c r="N39" s="18">
        <x:f t="shared" si="74"/>
        <x:v>0.639375</x:v>
      </x:c>
      <x:c r="O39" s="18">
        <x:f t="shared" si="75"/>
        <x:v>0.809375</x:v>
      </x:c>
      <x:c r="P39" s="18">
        <x:f t="shared" si="76"/>
        <x:v>0.975</x:v>
      </x:c>
      <x:c r="Q39" s="18">
        <x:f t="shared" si="77"/>
        <x:v>0.7225</x:v>
      </x:c>
      <x:c r="R39" s="18">
        <x:f t="shared" si="78"/>
        <x:v>0.9025</x:v>
      </x:c>
      <x:c r="S39" s="18">
        <x:f t="shared" si="79"/>
        <x:v>1</x:v>
      </x:c>
      <x:c r="T39" s="18">
        <x:f t="shared" si="80"/>
        <x:v>0.64</x:v>
      </x:c>
      <x:c r="U39" s="18">
        <x:f t="shared" si="81"/>
        <x:v>0.81</x:v>
      </x:c>
      <x:c r="V39" s="18">
        <x:f t="shared" si="82"/>
        <x:v>0.975</x:v>
      </x:c>
    </x:row>
    <x:row r="40" ht="14.25" customHeight="1">
      <x:c r="A40" s="9" t="s">
        <x:v>35</x:v>
      </x:c>
      <x:c r="B40" s="18">
        <x:f t="shared" si="62"/>
        <x:v>0.375</x:v>
      </x:c>
      <x:c r="C40" s="18">
        <x:f t="shared" si="63"/>
        <x:v>0.51</x:v>
      </x:c>
      <x:c r="D40" s="18">
        <x:f t="shared" si="64"/>
        <x:v>0.665</x:v>
      </x:c>
      <x:c r="E40" s="18">
        <x:f t="shared" si="65"/>
        <x:v>0.5723684211</x:v>
      </x:c>
      <x:c r="F40" s="18">
        <x:f t="shared" si="66"/>
        <x:v>0.7381578947</x:v>
      </x:c>
      <x:c r="G40" s="18">
        <x:f t="shared" si="67"/>
        <x:v>0.9006578947</x:v>
      </x:c>
      <x:c r="H40" s="18">
        <x:f t="shared" si="68"/>
        <x:v>0.680625</x:v>
      </x:c>
      <x:c r="I40" s="18">
        <x:f t="shared" si="69"/>
        <x:v>0.855625</x:v>
      </x:c>
      <x:c r="J40" s="18">
        <x:f t="shared" si="70"/>
        <x:v>0.975</x:v>
      </x:c>
      <x:c r="K40" s="18">
        <x:f t="shared" si="71"/>
        <x:v>0.5769230769</x:v>
      </x:c>
      <x:c r="L40" s="18">
        <x:f t="shared" si="72"/>
        <x:v>0.741025641</x:v>
      </x:c>
      <x:c r="M40" s="18">
        <x:f t="shared" si="73"/>
        <x:v>0.9012820513</x:v>
      </x:c>
      <x:c r="N40" s="18">
        <x:f t="shared" si="74"/>
        <x:v>0.639375</x:v>
      </x:c>
      <x:c r="O40" s="18">
        <x:f t="shared" si="75"/>
        <x:v>0.809375</x:v>
      </x:c>
      <x:c r="P40" s="18">
        <x:f t="shared" si="76"/>
        <x:v>0.975</x:v>
      </x:c>
      <x:c r="Q40" s="18">
        <x:f t="shared" si="77"/>
        <x:v>0.765</x:v>
      </x:c>
      <x:c r="R40" s="18">
        <x:f t="shared" si="78"/>
        <x:v>0.95</x:v>
      </x:c>
      <x:c r="S40" s="18">
        <x:f t="shared" si="79"/>
        <x:v>1</x:v>
      </x:c>
      <x:c r="T40" s="18">
        <x:f t="shared" si="80"/>
        <x:v>0.72</x:v>
      </x:c>
      <x:c r="U40" s="18">
        <x:f t="shared" si="81"/>
        <x:v>0.9</x:v>
      </x:c>
      <x:c r="V40" s="18">
        <x:f t="shared" si="82"/>
        <x:v>0.975</x:v>
      </x:c>
    </x:row>
    <x:row r="41" ht="14.25" customHeight="1">
      <x:c r="A41" s="9" t="s">
        <x:v>36</x:v>
      </x:c>
      <x:c r="B41" s="18">
        <x:f t="shared" si="62"/>
        <x:v>0.45</x:v>
      </x:c>
      <x:c r="C41" s="18">
        <x:f t="shared" si="63"/>
        <x:v>0.595</x:v>
      </x:c>
      <x:c r="D41" s="18">
        <x:f t="shared" si="64"/>
        <x:v>0.76</x:v>
      </x:c>
      <x:c r="E41" s="18">
        <x:f t="shared" si="65"/>
        <x:v>0.5921052632</x:v>
      </x:c>
      <x:c r="F41" s="18">
        <x:f t="shared" si="66"/>
        <x:v>0.7605263158</x:v>
      </x:c>
      <x:c r="G41" s="18">
        <x:f t="shared" si="67"/>
        <x:v>0.925</x:v>
      </x:c>
      <x:c r="H41" s="18">
        <x:f t="shared" si="68"/>
        <x:v>0.70125</x:v>
      </x:c>
      <x:c r="I41" s="18">
        <x:f t="shared" si="69"/>
        <x:v>0.87875</x:v>
      </x:c>
      <x:c r="J41" s="18">
        <x:f t="shared" si="70"/>
        <x:v>0.975</x:v>
      </x:c>
      <x:c r="K41" s="18">
        <x:f t="shared" si="71"/>
        <x:v>0.6153846154</x:v>
      </x:c>
      <x:c r="L41" s="18">
        <x:f t="shared" si="72"/>
        <x:v>0.7846153846</x:v>
      </x:c>
      <x:c r="M41" s="18">
        <x:f t="shared" si="73"/>
        <x:v>0.9012820513</x:v>
      </x:c>
      <x:c r="N41" s="18">
        <x:f t="shared" si="74"/>
        <x:v>0.6975</x:v>
      </x:c>
      <x:c r="O41" s="18">
        <x:f t="shared" si="75"/>
        <x:v>0.875</x:v>
      </x:c>
      <x:c r="P41" s="18">
        <x:f t="shared" si="76"/>
        <x:v>0.975</x:v>
      </x:c>
      <x:c r="Q41" s="18">
        <x:f t="shared" si="77"/>
        <x:v>0.765</x:v>
      </x:c>
      <x:c r="R41" s="18">
        <x:f t="shared" si="78"/>
        <x:v>0.95</x:v>
      </x:c>
      <x:c r="S41" s="18">
        <x:f t="shared" si="79"/>
        <x:v>1</x:v>
      </x:c>
      <x:c r="T41" s="18">
        <x:f t="shared" si="80"/>
        <x:v>0.72</x:v>
      </x:c>
      <x:c r="U41" s="18">
        <x:f t="shared" si="81"/>
        <x:v>0.9</x:v>
      </x:c>
      <x:c r="V41" s="18">
        <x:f t="shared" si="82"/>
        <x:v>0.975</x:v>
      </x:c>
    </x:row>
    <x:row r="42" ht="14.25" customHeight="1">
      <x:c r="A42" s="9" t="s">
        <x:v>37</x:v>
      </x:c>
      <x:c r="B42" s="18">
        <x:f t="shared" si="62"/>
        <x:v>0.375</x:v>
      </x:c>
      <x:c r="C42" s="18">
        <x:f t="shared" si="63"/>
        <x:v>0.51</x:v>
      </x:c>
      <x:c r="D42" s="18">
        <x:f t="shared" si="64"/>
        <x:v>0.665</x:v>
      </x:c>
      <x:c r="E42" s="18">
        <x:f t="shared" si="65"/>
        <x:v>0.4736842105</x:v>
      </x:c>
      <x:c r="F42" s="18">
        <x:f t="shared" si="66"/>
        <x:v>0.6263157895</x:v>
      </x:c>
      <x:c r="G42" s="18">
        <x:f t="shared" si="67"/>
        <x:v>0.7789473684</x:v>
      </x:c>
      <x:c r="H42" s="18">
        <x:f t="shared" si="68"/>
        <x:v>0.5775</x:v>
      </x:c>
      <x:c r="I42" s="18">
        <x:f t="shared" si="69"/>
        <x:v>0.74</x:v>
      </x:c>
      <x:c r="J42" s="18">
        <x:f t="shared" si="70"/>
        <x:v>0.9</x:v>
      </x:c>
      <x:c r="K42" s="18">
        <x:f t="shared" si="71"/>
        <x:v>0.5961538462</x:v>
      </x:c>
      <x:c r="L42" s="18">
        <x:f t="shared" si="72"/>
        <x:v>0.7628205128</x:v>
      </x:c>
      <x:c r="M42" s="18">
        <x:f t="shared" si="73"/>
        <x:v>0.95</x:v>
      </x:c>
      <x:c r="N42" s="18">
        <x:f t="shared" si="74"/>
        <x:v>0.5425</x:v>
      </x:c>
      <x:c r="O42" s="18">
        <x:f t="shared" si="75"/>
        <x:v>0.7</x:v>
      </x:c>
      <x:c r="P42" s="18">
        <x:f t="shared" si="76"/>
        <x:v>0.8775</x:v>
      </x:c>
      <x:c r="Q42" s="18">
        <x:f t="shared" si="77"/>
        <x:v>0.595</x:v>
      </x:c>
      <x:c r="R42" s="18">
        <x:f t="shared" si="78"/>
        <x:v>0.76</x:v>
      </x:c>
      <x:c r="S42" s="18">
        <x:f t="shared" si="79"/>
        <x:v>0.9</x:v>
      </x:c>
      <x:c r="T42" s="18">
        <x:f t="shared" si="80"/>
        <x:v>0.62</x:v>
      </x:c>
      <x:c r="U42" s="18">
        <x:f t="shared" si="81"/>
        <x:v>0.7875</x:v>
      </x:c>
      <x:c r="V42" s="18">
        <x:f t="shared" si="82"/>
        <x:v>0.950625</x:v>
      </x:c>
    </x:row>
    <x:row r="43" ht="14.25" customHeight="1"/>
    <x:row r="44" ht="14.25" customHeight="1"/>
    <x:row r="45" ht="14.25" customHeight="1">
      <x:c r="A45" s="5" t="s">
        <x:v>83</x:v>
      </x:c>
      <x:c r="B45" s="6"/>
      <x:c r="C45" s="6"/>
      <x:c r="D45" s="6"/>
      <x:c r="E45" s="6"/>
      <x:c r="F45" s="6"/>
      <x:c r="G45" s="6"/>
      <x:c r="H45" s="7"/>
    </x:row>
    <x:row r="46" ht="14.25" customHeight="1">
      <x:c r="A46" s="8" t="s">
        <x:v>3</x:v>
      </x:c>
      <x:c r="B46" s="8" t="s">
        <x:v>4</x:v>
      </x:c>
      <x:c r="C46" s="8" t="s">
        <x:v>84</x:v>
      </x:c>
      <x:c r="D46" s="8" t="s">
        <x:v>85</x:v>
      </x:c>
      <x:c r="E46" s="8" t="s">
        <x:v>86</x:v>
      </x:c>
      <x:c r="F46" s="8" t="s">
        <x:v>87</x:v>
      </x:c>
      <x:c r="G46" s="8" t="s">
        <x:v>88</x:v>
      </x:c>
      <x:c r="H46" s="8" t="s">
        <x:v>89</x:v>
      </x:c>
    </x:row>
    <x:row r="47" ht="14.25" customHeight="1">
      <x:c r="A47" s="9" t="s">
        <x:v>9</x:v>
      </x:c>
      <x:c r="B47" s="9" t="s">
        <x:v>10</x:v>
      </x:c>
      <x:c r="C47" s="18" t="n">
        <x:f t="shared" ref="C47:E47" si="83">MAX(B$37:B$42)</x:f>
        <x:v>0.6000000000000001</x:v>
      </x:c>
      <x:c r="D47" s="18">
        <x:f t="shared" si="83"/>
        <x:v>0.765</x:v>
      </x:c>
      <x:c r="E47" s="18">
        <x:f t="shared" si="83"/>
        <x:v>0.95</x:v>
      </x:c>
      <x:c r="F47" s="18" t="n">
        <x:f t="shared" ref="F47:H47" si="84">MIN(B$37:B$42)</x:f>
        <x:v>0.24375</x:v>
      </x:c>
      <x:c r="G47" s="18">
        <x:f t="shared" si="84"/>
        <x:v>0.36125</x:v>
      </x:c>
      <x:c r="H47" s="18">
        <x:f t="shared" si="84"/>
        <x:v>0.49875</x:v>
      </x:c>
    </x:row>
    <x:row r="48" ht="14.25" customHeight="1">
      <x:c r="A48" s="9" t="s">
        <x:v>13</x:v>
      </x:c>
      <x:c r="B48" s="9" t="s">
        <x:v>14</x:v>
      </x:c>
      <x:c r="C48" s="18" t="n">
        <x:f t="shared" ref="C48:E48" si="85">MAX(E$37:E$42)</x:f>
        <x:v>0.5921052632</x:v>
      </x:c>
      <x:c r="D48" s="18">
        <x:f t="shared" si="85"/>
        <x:v>0.7605263158</x:v>
      </x:c>
      <x:c r="E48" s="18">
        <x:f t="shared" si="85"/>
        <x:v>0.925</x:v>
      </x:c>
      <x:c r="F48" s="18" t="n">
        <x:f t="shared" ref="F48:H48" si="86">MIN(E$37:E$42)</x:f>
        <x:v>0.4736842105</x:v>
      </x:c>
      <x:c r="G48" s="18">
        <x:f t="shared" si="86"/>
        <x:v>0.6263157895</x:v>
      </x:c>
      <x:c r="H48" s="18">
        <x:f t="shared" si="86"/>
        <x:v>0.7789473684</x:v>
      </x:c>
    </x:row>
    <x:row r="49" ht="14.25" customHeight="1">
      <x:c r="A49" s="9" t="s">
        <x:v>17</x:v>
      </x:c>
      <x:c r="B49" s="9" t="s">
        <x:v>18</x:v>
      </x:c>
      <x:c r="C49" s="18" t="n">
        <x:f t="shared" ref="C49:E49" si="87">MAX(H$37:H$42)</x:f>
        <x:v>0.7218749999999999</x:v>
      </x:c>
      <x:c r="D49" s="18">
        <x:f t="shared" si="87"/>
        <x:v>0.901875</x:v>
      </x:c>
      <x:c r="E49" s="18">
        <x:f t="shared" si="87"/>
        <x:v>1</x:v>
      </x:c>
      <x:c r="F49" s="18" t="n">
        <x:f t="shared" ref="F49:H49" si="88">MIN(H$37:H$42)</x:f>
        <x:v>0.515625</x:v>
      </x:c>
      <x:c r="G49" s="18">
        <x:f t="shared" si="88"/>
        <x:v>0.670625</x:v>
      </x:c>
      <x:c r="H49" s="18">
        <x:f t="shared" si="88"/>
        <x:v>0.825</x:v>
      </x:c>
    </x:row>
    <x:row r="50" ht="14.25" customHeight="1">
      <x:c r="A50" s="9" t="s">
        <x:v>19</x:v>
      </x:c>
      <x:c r="B50" s="9" t="s">
        <x:v>20</x:v>
      </x:c>
      <x:c r="C50" s="18" t="n">
        <x:f t="shared" ref="C50:E50" si="89">MAX(K$37:K$42)</x:f>
        <x:v>0.6153846154</x:v>
      </x:c>
      <x:c r="D50" s="18">
        <x:f t="shared" si="89"/>
        <x:v>0.7846153846</x:v>
      </x:c>
      <x:c r="E50" s="18">
        <x:f t="shared" si="89"/>
        <x:v>0.95</x:v>
      </x:c>
      <x:c r="F50" s="18" t="n">
        <x:f t="shared" ref="F50:H50" si="90">MIN(K$37:K$42)</x:f>
        <x:v>0.40384615384615385</x:v>
      </x:c>
      <x:c r="G50" s="18">
        <x:f t="shared" si="90"/>
        <x:v>0.5448717949</x:v>
      </x:c>
      <x:c r="H50" s="18">
        <x:f t="shared" si="90"/>
        <x:v>0.7064102564</x:v>
      </x:c>
    </x:row>
    <x:row r="51" ht="14.25" customHeight="1">
      <x:c r="A51" s="9" t="s">
        <x:v>21</x:v>
      </x:c>
      <x:c r="B51" s="9" t="s">
        <x:v>22</x:v>
      </x:c>
      <x:c r="C51" s="18" t="n">
        <x:f t="shared" ref="C51:E51" si="91">MAX(N$37:N$42)</x:f>
        <x:v>0.6975</x:v>
      </x:c>
      <x:c r="D51" s="18">
        <x:f t="shared" si="91"/>
        <x:v>0.875</x:v>
      </x:c>
      <x:c r="E51" s="18">
        <x:f t="shared" si="91"/>
        <x:v>0.975</x:v>
      </x:c>
      <x:c r="F51" s="18" t="n">
        <x:f t="shared" ref="F51:H51" si="92">MIN(N$37:N$42)</x:f>
        <x:v>0.155</x:v>
      </x:c>
      <x:c r="G51" s="18">
        <x:f t="shared" si="92"/>
        <x:v>0.2625</x:v>
      </x:c>
      <x:c r="H51" s="18">
        <x:f t="shared" si="92"/>
        <x:v>0.39</x:v>
      </x:c>
    </x:row>
    <x:row r="52" ht="14.25" customHeight="1">
      <x:c r="A52" s="9" t="s">
        <x:v>23</x:v>
      </x:c>
      <x:c r="B52" s="9" t="s">
        <x:v>24</x:v>
      </x:c>
      <x:c r="C52" s="18" t="n">
        <x:f t="shared" ref="C52:E52" si="93">MAX(Q$37:Q$42)</x:f>
        <x:v>0.765</x:v>
      </x:c>
      <x:c r="D52" s="18">
        <x:f t="shared" si="93"/>
        <x:v>0.95</x:v>
      </x:c>
      <x:c r="E52" s="18">
        <x:f t="shared" si="93"/>
        <x:v>1</x:v>
      </x:c>
      <x:c r="F52" s="18" t="n">
        <x:f t="shared" ref="F52:H52" si="94">MIN(Q$37:Q$42)</x:f>
        <x:v>0.51</x:v>
      </x:c>
      <x:c r="G52" s="18">
        <x:f t="shared" si="94"/>
        <x:v>0.665</x:v>
      </x:c>
      <x:c r="H52" s="18">
        <x:f t="shared" si="94"/>
        <x:v>0.8</x:v>
      </x:c>
    </x:row>
    <x:row r="53" ht="14.25" customHeight="1">
      <x:c r="A53" s="9" t="s">
        <x:v>25</x:v>
      </x:c>
      <x:c r="B53" s="9" t="s">
        <x:v>26</x:v>
      </x:c>
      <x:c r="C53" s="18" t="n">
        <x:f t="shared" ref="C53:E53" si="95">MAX(T$37:T$42)</x:f>
        <x:v>0.72</x:v>
      </x:c>
      <x:c r="D53" s="18">
        <x:f t="shared" si="95"/>
        <x:v>0.9</x:v>
      </x:c>
      <x:c r="E53" s="18">
        <x:f t="shared" si="95"/>
        <x:v>0.975</x:v>
      </x:c>
      <x:c r="F53" s="18" t="n">
        <x:f t="shared" ref="F53:H53" si="96">MIN(T$37:T$42)</x:f>
        <x:v>0.62</x:v>
      </x:c>
      <x:c r="G53" s="18">
        <x:f t="shared" si="96"/>
        <x:v>0.7875</x:v>
      </x:c>
      <x:c r="H53" s="18">
        <x:f t="shared" si="96"/>
        <x:v>0.950625</x:v>
      </x:c>
    </x:row>
    <x:row r="54" ht="14.25" customHeight="1"/>
    <x:row r="55" ht="14.25" customHeight="1"/>
    <x:row r="56" ht="14.25" customHeight="1">
      <x:c r="A56" s="5" t="s">
        <x:v>90</x:v>
      </x:c>
      <x:c r="B56" s="6"/>
      <x:c r="C56" s="6"/>
      <x:c r="D56" s="6"/>
      <x:c r="E56" s="7"/>
    </x:row>
    <x:row r="57" ht="14.25" customHeight="1">
      <x:c r="A57" s="8" t="s">
        <x:v>28</x:v>
      </x:c>
      <x:c r="B57" s="8" t="s">
        <x:v>91</x:v>
      </x:c>
      <x:c r="C57" s="8" t="s">
        <x:v>92</x:v>
      </x:c>
      <x:c r="D57" s="8" t="s">
        <x:v>93</x:v>
      </x:c>
      <x:c r="E57" s="8" t="s">
        <x:v>94</x:v>
      </x:c>
      <x:c r="G57" s="8" t="s">
        <x:v>95</x:v>
      </x:c>
      <x:c r="H57" s="8" t="s">
        <x:v>96</x:v>
      </x:c>
      <x:c r="I57" s="8" t="s">
        <x:v>97</x:v>
      </x:c>
      <x:c r="J57" s="8" t="s">
        <x:v>98</x:v>
      </x:c>
      <x:c r="K57" s="8" t="s">
        <x:v>99</x:v>
      </x:c>
      <x:c r="L57" s="8" t="s">
        <x:v>100</x:v>
      </x:c>
      <x:c r="M57" s="8" t="s">
        <x:v>101</x:v>
      </x:c>
      <x:c r="O57" s="8" t="s">
        <x:v>102</x:v>
      </x:c>
      <x:c r="P57" s="8" t="s">
        <x:v>103</x:v>
      </x:c>
      <x:c r="Q57" s="8" t="s">
        <x:v>104</x:v>
      </x:c>
      <x:c r="R57" s="8" t="s">
        <x:v>105</x:v>
      </x:c>
      <x:c r="S57" s="8" t="s">
        <x:v>106</x:v>
      </x:c>
      <x:c r="T57" s="8" t="s">
        <x:v>107</x:v>
      </x:c>
      <x:c r="U57" s="8" t="s">
        <x:v>108</x:v>
      </x:c>
    </x:row>
    <x:row r="58" ht="14.25" customHeight="1">
      <x:c r="A58" s="9" t="s">
        <x:v>29</x:v>
      </x:c>
      <x:c r="B58" s="33" t="n">
        <x:f t="shared" ref="B58:B63" si="97">SUM(G58:M58)</x:f>
        <x:v>0.3769980692526649</x:v>
      </x:c>
      <x:c r="C58" s="33" t="n">
        <x:f t="shared" ref="C58:C63" si="98">SUM(O58:U58)</x:f>
        <x:v>1.5247963282837624</x:v>
      </x:c>
      <x:c r="D58" s="33" t="n">
        <x:f t="shared" ref="D58:D63" si="99">C58/(B58+C58)</x:f>
        <x:v>0.8017671785441024</x:v>
      </x:c>
      <x:c r="E58" s="46" t="n">
        <x:f t="shared" ref="E58:E63" si="100">RANK(D58,$D$58:$D$63,0)</x:f>
        <x:v>2</x:v>
      </x:c>
      <x:c r="G58" s="47" t="n">
        <x:f t="shared" ref="G58:G63" si="101">SQRT(((B37-$C$47)^2+(C37-$D$47)^2+(D37-$E$47)^2)/3)</x:f>
        <x:v>0</x:v>
      </x:c>
      <x:c r="H58" s="47" t="n">
        <x:f t="shared" ref="H58:H63" si="102">SQRT(((E37-$C$48)^2+(F37-$D$48)^2+(G37-$E$48)^2)/3)</x:f>
        <x:v>0.03720257552730747</x:v>
      </x:c>
      <x:c r="I58" s="47" t="n">
        <x:f t="shared" ref="I58:I63" si="103">SQRT(((H37-$C$49)^2+(I37-$D$49)^2+(J37-$E$49)^2)/3)</x:f>
        <x:v>0</x:v>
      </x:c>
      <x:c r="J58" s="47" t="n">
        <x:f t="shared" ref="J58:J63" si="104">SQRT(((K37-$C$50)^2+(L37-$D$50)^2+(M37-$E$50)^2)/3)</x:f>
        <x:v>0.23206426747789394</x:v>
      </x:c>
      <x:c r="K58" s="47" t="n">
        <x:f t="shared" ref="K58:K63" si="105">SQRT(((N37-$C$51)^2+(O37-$D$51)^2+(P37-$E$51)^2)/3)</x:f>
        <x:v>0</x:v>
      </x:c>
      <x:c r="L58" s="47" t="n">
        <x:f t="shared" ref="L58:L63" si="106">SQRT(((Q37-$C$52)^2+(R37-$D$52)^2+(S37-$E$52)^2)/3)</x:f>
        <x:v>0.03679900360969939</x:v>
      </x:c>
      <x:c r="M58" s="47" t="n">
        <x:f t="shared" ref="M58:M63" si="107">SQRT(((T37-$C$53)^2+(U37-$D$53)^2+(V37-$E$53)^2)/3)</x:f>
        <x:v>0.07093222263776403</x:v>
      </x:c>
      <x:c r="O58" s="47" t="n">
        <x:f t="shared" ref="O58:O63" si="108">SQRT(((B37-$F$47)^2+(C37-$G$47)^2+(D37-$H$47)^2)/3)</x:f>
        <x:v>0.4056084678192341</x:v>
      </x:c>
      <x:c r="P58" s="47" t="n">
        <x:f t="shared" ref="P58:P63" si="109">SQRT(((E37-$F$48)^2+(F37-$G$48)^2+(G37-$H$48)^2)/3)</x:f>
        <x:v>0.09840677376402258</x:v>
      </x:c>
      <x:c r="Q58" s="47" t="n">
        <x:f t="shared" ref="Q58:Q63" si="110">SQRT(((H37-$F$49)^2+(I37-$G$49)^2+(J37-$H$49)^2)/3)</x:f>
        <x:v>0.20545934309898556</x:v>
      </x:c>
      <x:c r="R58" s="47" t="n">
        <x:f t="shared" ref="R58:R63" si="111">SQRT(((K37-$F$50)^2+(L37-$G$50)^2+(M37-$H$50)^2)/3)</x:f>
        <x:v>3.1091242277175265e-11</x:v>
      </x:c>
      <x:c r="S58" s="47" t="n">
        <x:f t="shared" ref="S58:S63" si="112">SQRT(((N37-$F$51)^2+(O37-$G$51)^2+(P37-$H$51)^2)/3)</x:f>
        <x:v>0.580714358929299</x:v>
      </x:c>
      <x:c r="T58" s="47" t="n">
        <x:f t="shared" ref="T58:T63" si="113">SQRT(((Q37-$F$52)^2+(R37-$G$52)^2+(S37-$H$52)^2)/3)</x:f>
        <x:v>0.21722683996228453</x:v>
      </x:c>
      <x:c r="U58" s="47" t="n">
        <x:f t="shared" ref="U58:U63" si="114">SQRT(((T37-$F$53)^2+(U37-$G$53)^2+(V37-$H$53)^2)/3)</x:f>
        <x:v>0.01738054467884526</x:v>
      </x:c>
    </x:row>
    <x:row r="59" ht="14.25" customHeight="1">
      <x:c r="A59" s="9" t="s">
        <x:v>31</x:v>
      </x:c>
      <x:c r="B59" s="33">
        <x:f t="shared" si="97"/>
        <x:v>1.657831536</x:v>
      </x:c>
      <x:c r="C59" s="33">
        <x:f t="shared" si="98"/>
        <x:v>0.2402385732</x:v>
      </x:c>
      <x:c r="D59" s="33">
        <x:f t="shared" si="99"/>
        <x:v>0.1265699154</x:v>
      </x:c>
      <x:c r="E59" s="46">
        <x:f t="shared" si="100"/>
        <x:v>6</x:v>
      </x:c>
      <x:c r="G59" s="47">
        <x:f t="shared" si="101"/>
        <x:v>0.4056084678</x:v>
      </x:c>
      <x:c r="H59" s="47">
        <x:f t="shared" si="102"/>
        <x:v>0.1028394207</x:v>
      </x:c>
      <x:c r="I59" s="47">
        <x:f t="shared" si="103"/>
        <x:v>0.2054593431</x:v>
      </x:c>
      <x:c r="J59" s="47">
        <x:f t="shared" si="104"/>
        <x:v>0.07928358265</x:v>
      </x:c>
      <x:c r="K59" s="47">
        <x:f t="shared" si="105"/>
        <x:v>0.5807143589</x:v>
      </x:c>
      <x:c r="L59" s="47">
        <x:f t="shared" si="106"/>
        <x:v>0.2491652731</x:v>
      </x:c>
      <x:c r="M59" s="47">
        <x:f t="shared" si="107"/>
        <x:v>0.03476108936</x:v>
      </x:c>
      <x:c r="O59" s="47">
        <x:f t="shared" si="108"/>
        <x:v>0</x:v>
      </x:c>
      <x:c r="P59" s="47">
        <x:f t="shared" si="109"/>
        <x:v>0.03296483759</x:v>
      </x:c>
      <x:c r="Q59" s="47">
        <x:f t="shared" si="110"/>
        <x:v>0</x:v>
      </x:c>
      <x:c r="R59" s="47">
        <x:f t="shared" si="111"/>
        <x:v>0.1532663576</x:v>
      </x:c>
      <x:c r="S59" s="47">
        <x:f t="shared" si="112"/>
        <x:v>0</x:v>
      </x:c>
      <x:c r="T59" s="47">
        <x:f t="shared" si="113"/>
        <x:v>0</x:v>
      </x:c>
      <x:c r="U59" s="47">
        <x:f t="shared" si="114"/>
        <x:v>0.05400737797</x:v>
      </x:c>
    </x:row>
    <x:row r="60" ht="14.25" customHeight="1">
      <x:c r="A60" s="9" t="s">
        <x:v>34</x:v>
      </x:c>
      <x:c r="B60" s="33">
        <x:f t="shared" si="97"/>
        <x:v>0.4081690072</x:v>
      </x:c>
      <x:c r="C60" s="33">
        <x:f t="shared" si="98"/>
        <x:v>1.510777732</x:v>
      </x:c>
      <x:c r="D60" s="33">
        <x:f t="shared" si="99"/>
        <x:v>0.7872952913</x:v>
      </x:c>
      <x:c r="E60" s="46">
        <x:f t="shared" si="100"/>
        <x:v>3</x:v>
      </x:c>
      <x:c r="G60" s="47">
        <x:f t="shared" si="101"/>
        <x:v>0.1494346987</x:v>
      </x:c>
      <x:c r="H60" s="47">
        <x:f t="shared" si="102"/>
        <x:v>0.02222931462</x:v>
      </x:c>
      <x:c r="I60" s="47">
        <x:f t="shared" si="103"/>
        <x:v>0.03577999907</x:v>
      </x:c>
      <x:c r="J60" s="47">
        <x:f t="shared" si="104"/>
        <x:v>0.04379038789</x:v>
      </x:c>
      <x:c r="K60" s="47">
        <x:f t="shared" si="105"/>
        <x:v>0.0506134246</x:v>
      </x:c>
      <x:c r="L60" s="47">
        <x:f t="shared" si="106"/>
        <x:v>0.03679900361</x:v>
      </x:c>
      <x:c r="M60" s="47">
        <x:f t="shared" si="107"/>
        <x:v>0.06952217872</x:v>
      </x:c>
      <x:c r="O60" s="47">
        <x:f t="shared" si="108"/>
        <x:v>0.2561737691</x:v>
      </x:c>
      <x:c r="P60" s="47">
        <x:f t="shared" si="109"/>
        <x:v>0.1111465731</x:v>
      </x:c>
      <x:c r="Q60" s="47">
        <x:f t="shared" si="110"/>
        <x:v>0.1751903726</x:v>
      </x:c>
      <x:c r="R60" s="47">
        <x:f t="shared" si="111"/>
        <x:v>0.188332126</x:v>
      </x:c>
      <x:c r="S60" s="47">
        <x:f t="shared" si="112"/>
        <x:v>0.54034446</x:v>
      </x:c>
      <x:c r="T60" s="47">
        <x:f t="shared" si="113"/>
        <x:v>0.21722684</x:v>
      </x:c>
      <x:c r="U60" s="47">
        <x:f t="shared" si="114"/>
        <x:v>0.02236359113</x:v>
      </x:c>
    </x:row>
    <x:row r="61" ht="14.25" customHeight="1">
      <x:c r="A61" s="9" t="s">
        <x:v>35</x:v>
      </x:c>
      <x:c r="B61" s="33">
        <x:f t="shared" si="97"/>
        <x:v>0.4113885197</x:v>
      </x:c>
      <x:c r="C61" s="33">
        <x:f t="shared" si="98"/>
        <x:v>1.493740151</x:v>
      </x:c>
      <x:c r="D61" s="33">
        <x:f t="shared" si="99"/>
        <x:v>0.7840626064</x:v>
      </x:c>
      <x:c r="E61" s="46">
        <x:f t="shared" si="100"/>
        <x:v>4</x:v>
      </x:c>
      <x:c r="G61" s="47">
        <x:f t="shared" si="101"/>
        <x:v>0.2561737691</x:v>
      </x:c>
      <x:c r="H61" s="47">
        <x:f t="shared" si="102"/>
        <x:v>0.02222931462</x:v>
      </x:c>
      <x:c r="I61" s="47">
        <x:f t="shared" si="103"/>
        <x:v>0.03858162343</x:v>
      </x:c>
      <x:c r="J61" s="47">
        <x:f t="shared" si="104"/>
        <x:v>0.04379038789</x:v>
      </x:c>
      <x:c r="K61" s="47">
        <x:f t="shared" si="105"/>
        <x:v>0.0506134246</x:v>
      </x:c>
      <x:c r="L61" s="47">
        <x:f t="shared" si="106"/>
        <x:v>0</x:v>
      </x:c>
      <x:c r="M61" s="47">
        <x:f t="shared" si="107"/>
        <x:v>0</x:v>
      </x:c>
      <x:c r="O61" s="47">
        <x:f t="shared" si="108"/>
        <x:v>0.1494346987</x:v>
      </x:c>
      <x:c r="P61" s="47">
        <x:f t="shared" si="109"/>
        <x:v>0.1111465731</x:v>
      </x:c>
      <x:c r="Q61" s="47">
        <x:f t="shared" si="110"/>
        <x:v>0.1672821967</x:v>
      </x:c>
      <x:c r="R61" s="47">
        <x:f t="shared" si="111"/>
        <x:v>0.188332126</x:v>
      </x:c>
      <x:c r="S61" s="47">
        <x:f t="shared" si="112"/>
        <x:v>0.54034446</x:v>
      </x:c>
      <x:c r="T61" s="47">
        <x:f t="shared" si="113"/>
        <x:v>0.2491652731</x:v>
      </x:c>
      <x:c r="U61" s="47">
        <x:f t="shared" si="114"/>
        <x:v>0.08803482384</x:v>
      </x:c>
    </x:row>
    <x:row r="62" ht="14.25" customHeight="1">
      <x:c r="A62" s="9" t="s">
        <x:v>36</x:v>
      </x:c>
      <x:c r="B62" s="33">
        <x:f t="shared" si="97"/>
        <x:v>0.2218964692</x:v>
      </x:c>
      <x:c r="C62" s="33">
        <x:f t="shared" si="98"/>
        <x:v>1.685118559</x:v>
      </x:c>
      <x:c r="D62" s="33">
        <x:f t="shared" si="99"/>
        <x:v>0.8836419924</x:v>
      </x:c>
      <x:c r="E62" s="46">
        <x:f t="shared" si="100"/>
        <x:v>1</x:v>
      </x:c>
      <x:c r="G62" s="47">
        <x:f t="shared" si="101"/>
        <x:v>0.1707825128</x:v>
      </x:c>
      <x:c r="H62" s="47">
        <x:f t="shared" si="102"/>
        <x:v>0</x:v>
      </x:c>
      <x:c r="I62" s="47">
        <x:f t="shared" si="103"/>
        <x:v>0.02298663561</x:v>
      </x:c>
      <x:c r="J62" s="47">
        <x:f t="shared" si="104"/>
        <x:v>0.02812732081</x:v>
      </x:c>
      <x:c r="K62" s="47">
        <x:f t="shared" si="105"/>
        <x:v>0</x:v>
      </x:c>
      <x:c r="L62" s="47">
        <x:f t="shared" si="106"/>
        <x:v>0</x:v>
      </x:c>
      <x:c r="M62" s="47">
        <x:f t="shared" si="107"/>
        <x:v>0</x:v>
      </x:c>
      <x:c r="O62" s="47">
        <x:f t="shared" si="108"/>
        <x:v>0.2348259551</x:v>
      </x:c>
      <x:c r="P62" s="47">
        <x:f t="shared" si="109"/>
        <x:v>0.1333758877</x:v>
      </x:c>
      <x:c r="Q62" s="47">
        <x:f t="shared" si="110"/>
        <x:v>0.1828229164</x:v>
      </x:c>
      <x:c r="R62" s="47">
        <x:f t="shared" si="111"/>
        <x:v>0.2161793437</x:v>
      </x:c>
      <x:c r="S62" s="47">
        <x:f t="shared" si="112"/>
        <x:v>0.5807143589</x:v>
      </x:c>
      <x:c r="T62" s="47">
        <x:f t="shared" si="113"/>
        <x:v>0.2491652731</x:v>
      </x:c>
      <x:c r="U62" s="47">
        <x:f t="shared" si="114"/>
        <x:v>0.08803482384</x:v>
      </x:c>
    </x:row>
    <x:row r="63" ht="14.25" customHeight="1">
      <x:c r="A63" s="9" t="s">
        <x:v>37</x:v>
      </x:c>
      <x:c r="B63" s="33">
        <x:f t="shared" si="97"/>
        <x:v>0.9366153249</x:v>
      </x:c>
      <x:c r="C63" s="33">
        <x:f t="shared" si="98"/>
        <x:v>0.9702886131</x:v>
      </x:c>
      <x:c r="D63" s="33">
        <x:f t="shared" si="99"/>
        <x:v>0.508829309</x:v>
      </x:c>
      <x:c r="E63" s="46">
        <x:f t="shared" si="100"/>
        <x:v>5</x:v>
      </x:c>
      <x:c r="G63" s="47">
        <x:f t="shared" si="101"/>
        <x:v>0.2561737691</x:v>
      </x:c>
      <x:c r="H63" s="47">
        <x:f t="shared" si="102"/>
        <x:v>0.1333758877</x:v>
      </x:c>
      <x:c r="I63" s="47">
        <x:f t="shared" si="103"/>
        <x:v>0.1378980979</x:v>
      </x:c>
      <x:c r="J63" s="47">
        <x:f t="shared" si="104"/>
        <x:v>0.01678132813</x:v>
      </x:c>
      <x:c r="K63" s="47">
        <x:f t="shared" si="105"/>
        <x:v>0.1462375351</x:v>
      </x:c>
      <x:c r="L63" s="47">
        <x:f t="shared" si="106"/>
        <x:v>0.158113883</x:v>
      </x:c>
      <x:c r="M63" s="47">
        <x:f t="shared" si="107"/>
        <x:v>0.08803482384</x:v>
      </x:c>
      <x:c r="O63" s="47">
        <x:f t="shared" si="108"/>
        <x:v>0.1494346987</x:v>
      </x:c>
      <x:c r="P63" s="47">
        <x:f t="shared" si="109"/>
        <x:v>0</x:v>
      </x:c>
      <x:c r="Q63" s="47">
        <x:f t="shared" si="110"/>
        <x:v>0.06895990683</x:v>
      </x:c>
      <x:c r="R63" s="47">
        <x:f t="shared" si="111"/>
        <x:v>0.2189519394</x:v>
      </x:c>
      <x:c r="S63" s="47">
        <x:f t="shared" si="112"/>
        <x:v>0.4394006334</x:v>
      </x:c>
      <x:c r="T63" s="47">
        <x:f t="shared" si="113"/>
        <x:v>0.09354143467</x:v>
      </x:c>
      <x:c r="U63" s="47">
        <x:f t="shared" si="114"/>
        <x:v>0</x:v>
      </x:c>
    </x:row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V1"/>
    <x:mergeCell ref="A2:V2"/>
    <x:mergeCell ref="A4:H4"/>
    <x:mergeCell ref="A15:V15"/>
    <x:mergeCell ref="A25:V25"/>
    <x:mergeCell ref="A35:V35"/>
    <x:mergeCell ref="A45:H45"/>
    <x:mergeCell ref="A56:E5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24" customWidth="1"/>
    <x:col min="3" max="5" width="13" customWidth="1"/>
    <x:col min="6" max="6" width="22" customWidth="1"/>
    <x:col min="7" max="8" width="15" customWidth="1"/>
    <x:col min="9" max="26" width="8.630000114440918" customWidth="1"/>
  </x:cols>
  <x:sheetData>
    <x:row r="1" ht="14.25" customHeight="1">
      <x:c r="A1" s="1" t="s">
        <x:v>109</x:v>
      </x:c>
      <x:c r="B1" s="2"/>
      <x:c r="C1" s="2"/>
      <x:c r="D1" s="2"/>
      <x:c r="E1" s="2"/>
      <x:c r="F1" s="3"/>
      <x:c r="G1" s="32"/>
      <x:c r="H1" s="32"/>
    </x:row>
    <x:row r="2" ht="14.25" customHeight="1">
      <x:c r="A2" s="4" t="str">
        <x:v>Для TOPSIS чем выше коэффициент близости CC, тем предпочтительнее концепция; для МАИ чем выше глобальный приоритет, тем предпочтительнее концепция.</x:v>
      </x:c>
      <x:c r="B2" s="2"/>
      <x:c r="C2" s="2"/>
      <x:c r="D2" s="2"/>
      <x:c r="E2" s="2"/>
      <x:c r="F2" s="3"/>
    </x:row>
    <x:row r="3" ht="14.25" customHeight="1"/>
    <x:row r="4" ht="14.25" customHeight="1">
      <x:c r="A4" s="8" t="s">
        <x:v>110</x:v>
      </x:c>
      <x:c r="B4" s="8" t="s">
        <x:v>28</x:v>
      </x:c>
      <x:c r="C4" s="8" t="s">
        <x:v>91</x:v>
      </x:c>
      <x:c r="D4" s="8" t="s">
        <x:v>92</x:v>
      </x:c>
      <x:c r="E4" s="8" t="s">
        <x:v>93</x:v>
      </x:c>
      <x:c r="F4" s="8" t="s">
        <x:v>111</x:v>
      </x:c>
      <x:c r="G4" s="8" t="s">
        <x:v>112</x:v>
      </x:c>
      <x:c r="H4" s="8" t="s">
        <x:v>113</x:v>
      </x:c>
    </x:row>
    <x:row r="5" ht="14.25" customHeight="1">
      <x:c r="A5" s="9">
        <x:v>1.0</x:v>
      </x:c>
      <x:c r="B5" s="9" t="s">
        <x:v>36</x:v>
      </x:c>
      <x:c r="C5" s="33" t="n">
        <x:f>'Расчёт TOPSIS'!B62</x:f>
        <x:v>0.2218964692</x:v>
      </x:c>
      <x:c r="D5" s="33" t="n">
        <x:f>'Расчёт TOPSIS'!C62</x:f>
        <x:v>1.685118559</x:v>
      </x:c>
      <x:c r="E5" s="33" t="n">
        <x:f>'Расчёт TOPSIS'!D62</x:f>
        <x:v>0.8836419924</x:v>
      </x:c>
      <x:c r="F5" s="10" t="s">
        <x:v>114</x:v>
      </x:c>
      <x:c r="G5" s="29" t="n">
        <x:f>IFERROR(IF('Расчёт МАИ'!I204="","",'Расчёт МАИ'!I204),"")</x:f>
        <x:v>0.22668200414158252</x:v>
      </x:c>
      <x:c r="H5" s="34" t="n">
        <x:f>IFERROR(IF('Расчёт МАИ'!J204="","",'Расчёт МАИ'!J204),"")</x:f>
        <x:v>2</x:v>
      </x:c>
    </x:row>
    <x:row r="6" ht="14.25" customHeight="1">
      <x:c r="A6" s="9">
        <x:v>2.0</x:v>
      </x:c>
      <x:c r="B6" s="9" t="s">
        <x:v>29</x:v>
      </x:c>
      <x:c r="C6" s="33" t="n">
        <x:f>'Расчёт TOPSIS'!B58</x:f>
        <x:v>0.3769980692526649</x:v>
      </x:c>
      <x:c r="D6" s="33" t="n">
        <x:f>'Расчёт TOPSIS'!C58</x:f>
        <x:v>1.5247963282837624</x:v>
      </x:c>
      <x:c r="E6" s="33" t="n">
        <x:f>'Расчёт TOPSIS'!D58</x:f>
        <x:v>0.8017671785441024</x:v>
      </x:c>
      <x:c r="F6" s="10"/>
      <x:c r="G6" s="29" t="n">
        <x:f>IFERROR(IF('Расчёт МАИ'!I200="","",'Расчёт МАИ'!I200),"")</x:f>
        <x:v>0.2400901799195623</x:v>
      </x:c>
      <x:c r="H6" s="34" t="n">
        <x:f>IFERROR(IF('Расчёт МАИ'!J200="","",'Расчёт МАИ'!J200),"")</x:f>
        <x:v>1</x:v>
      </x:c>
    </x:row>
    <x:row r="7" ht="14.25" customHeight="1">
      <x:c r="A7" s="9">
        <x:v>3.0</x:v>
      </x:c>
      <x:c r="B7" s="9" t="s">
        <x:v>34</x:v>
      </x:c>
      <x:c r="C7" s="33" t="n">
        <x:f>'Расчёт TOPSIS'!B60</x:f>
        <x:v>0.4081690072</x:v>
      </x:c>
      <x:c r="D7" s="33" t="n">
        <x:f>'Расчёт TOPSIS'!C60</x:f>
        <x:v>1.510777732</x:v>
      </x:c>
      <x:c r="E7" s="33" t="n">
        <x:f>'Расчёт TOPSIS'!D60</x:f>
        <x:v>0.7872952913</x:v>
      </x:c>
      <x:c r="F7" s="10"/>
      <x:c r="G7" s="29" t="n">
        <x:f>IFERROR(IF('Расчёт МАИ'!I202="","",'Расчёт МАИ'!I202),"")</x:f>
        <x:v>0.17128038510650423</x:v>
      </x:c>
      <x:c r="H7" s="34" t="n">
        <x:f>IFERROR(IF('Расчёт МАИ'!J202="","",'Расчёт МАИ'!J202),"")</x:f>
        <x:v>3</x:v>
      </x:c>
    </x:row>
    <x:row r="8" ht="14.25" customHeight="1">
      <x:c r="A8" s="9">
        <x:v>4.0</x:v>
      </x:c>
      <x:c r="B8" s="9" t="s">
        <x:v>35</x:v>
      </x:c>
      <x:c r="C8" s="33" t="n">
        <x:f>'Расчёт TOPSIS'!B61</x:f>
        <x:v>0.4113885197</x:v>
      </x:c>
      <x:c r="D8" s="33" t="n">
        <x:f>'Расчёт TOPSIS'!C61</x:f>
        <x:v>1.493740151</x:v>
      </x:c>
      <x:c r="E8" s="33" t="n">
        <x:f>'Расчёт TOPSIS'!D61</x:f>
        <x:v>0.7840626064</x:v>
      </x:c>
      <x:c r="F8" s="10"/>
      <x:c r="G8" s="29" t="n">
        <x:f>IFERROR(IF('Расчёт МАИ'!I203="","",'Расчёт МАИ'!I203),"")</x:f>
        <x:v>0.1710798580298593</x:v>
      </x:c>
      <x:c r="H8" s="34" t="n">
        <x:f>IFERROR(IF('Расчёт МАИ'!J203="","",'Расчёт МАИ'!J203),"")</x:f>
        <x:v>4</x:v>
      </x:c>
    </x:row>
    <x:row r="9" ht="14.25" customHeight="1">
      <x:c r="A9" s="9">
        <x:v>5.0</x:v>
      </x:c>
      <x:c r="B9" s="9" t="s">
        <x:v>37</x:v>
      </x:c>
      <x:c r="C9" s="33" t="n">
        <x:f>'Расчёт TOPSIS'!B63</x:f>
        <x:v>0.9366153249</x:v>
      </x:c>
      <x:c r="D9" s="33" t="n">
        <x:f>'Расчёт TOPSIS'!C63</x:f>
        <x:v>0.9702886131</x:v>
      </x:c>
      <x:c r="E9" s="33" t="n">
        <x:f>'Расчёт TOPSIS'!D63</x:f>
        <x:v>0.508829309</x:v>
      </x:c>
      <x:c r="F9" s="10"/>
      <x:c r="G9" s="29" t="n">
        <x:f>IFERROR(IF('Расчёт МАИ'!I205="","",'Расчёт МАИ'!I205),"")</x:f>
        <x:v>0.10055605519899727</x:v>
      </x:c>
      <x:c r="H9" s="34" t="n">
        <x:f>IFERROR(IF('Расчёт МАИ'!J205="","",'Расчёт МАИ'!J205),"")</x:f>
        <x:v>5</x:v>
      </x:c>
    </x:row>
    <x:row r="10" ht="14.25" customHeight="1">
      <x:c r="A10" s="9">
        <x:v>6.0</x:v>
      </x:c>
      <x:c r="B10" s="9" t="s">
        <x:v>31</x:v>
      </x:c>
      <x:c r="C10" s="33" t="n">
        <x:f>'Расчёт TOPSIS'!B59</x:f>
        <x:v>1.657831536</x:v>
      </x:c>
      <x:c r="D10" s="33" t="n">
        <x:f>'Расчёт TOPSIS'!C59</x:f>
        <x:v>0.2402385732</x:v>
      </x:c>
      <x:c r="E10" s="33" t="n">
        <x:f>'Расчёт TOPSIS'!D59</x:f>
        <x:v>0.1265699154</x:v>
      </x:c>
      <x:c r="F10" s="10"/>
      <x:c r="G10" s="29" t="n">
        <x:f>IFERROR(IF('Расчёт МАИ'!I201="","",'Расчёт МАИ'!I201),"")</x:f>
        <x:v>0.09031151755635441</x:v>
      </x:c>
      <x:c r="H10" s="34" t="n">
        <x:f>IFERROR(IF('Расчёт МАИ'!J201="","",'Расчёт МАИ'!J201),"")</x:f>
        <x:v>6</x:v>
      </x:c>
    </x:row>
    <x:row r="11" ht="14.25" customHeight="1"/>
    <x:row r="12" ht="14.25" customHeight="1">
      <x:c r="A12" s="5" t="str">
        <x:v>По результатам нечёткого коллективного TOPSIS наиболее предпочтительной является концепция «RepairDesk» (CC ≈ 0,884).</x:v>
      </x:c>
      <x:c r="B12" s="6"/>
      <x:c r="C12" s="6"/>
      <x:c r="D12" s="6"/>
      <x:c r="E12" s="6"/>
      <x:c r="F12" s="7"/>
    </x:row>
    <x:row r="13" ht="14.25" customHeight="1">
      <x:c r="A13" s="42"/>
      <x:c r="B13" s="22"/>
      <x:c r="C13" s="22"/>
      <x:c r="D13" s="22"/>
      <x:c r="E13" s="22"/>
      <x:c r="F13" s="23"/>
    </x:row>
    <x:row r="14" ht="14.25" customHeight="1"/>
    <x:row r="15" ht="14.25" customHeight="1">
      <x:c r="A15" s="5" t="str">
        <x:v>По результатам чёткого коллективного МАИ наиболее предпочтительной является концепция «BudgetMate» (глобальный приоритет ≈ 0,2401). RepairDesk занял 2-е место (≈ 0,2267). Таким образом, методы дали разных лидеров, однако обе концепции находятся в верхней части итогового рейтинга.</x:v>
      </x:c>
      <x:c r="B15" s="6"/>
      <x:c r="C15" s="6"/>
      <x:c r="D15" s="6"/>
      <x:c r="E15" s="6"/>
      <x:c r="F15" s="6"/>
      <x:c r="G15" s="6"/>
      <x:c r="H15" s="7"/>
    </x:row>
    <x:row r="16" ht="14.25" customHeight="1">
      <x:c r="A16" s="42"/>
      <x:c r="B16" s="22"/>
      <x:c r="C16" s="22"/>
      <x:c r="D16" s="22"/>
      <x:c r="E16" s="22"/>
      <x:c r="F16" s="22"/>
      <x:c r="G16" s="22"/>
      <x:c r="H16" s="23"/>
    </x:row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F1"/>
    <x:mergeCell ref="A2:F2"/>
    <x:mergeCell ref="A12:F13"/>
    <x:mergeCell ref="A15:H16"/>
  </x:mergeCells>
  <x:pageMargins left="0.7" right="0.7" top="0.75" bottom="0.75" header="0.3" footer="0.3"/>
  <x:drawing xmlns:r="http://schemas.openxmlformats.org/officeDocument/2006/relationships" r:id="Rdf384b04e4304c0c"/>
</x:worksheet>
</file>

<file path=xl/worksheets/sheet4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2.630000114440918" defaultRowHeight="15"/>
  <x:cols>
    <x:col min="1" max="1" width="6" customWidth="1"/>
    <x:col min="2" max="3" width="22" customWidth="1"/>
    <x:col min="4" max="7" width="12" customWidth="1"/>
    <x:col min="8" max="8" width="8.630000114440918" customWidth="1"/>
    <x:col min="9" max="9" width="22" customWidth="1"/>
    <x:col min="10" max="15" width="11" customWidth="1"/>
    <x:col min="16" max="16" width="8.630000114440918" customWidth="1"/>
    <x:col min="17" max="20" width="14" customWidth="1"/>
    <x:col min="21" max="21" width="4" customWidth="1"/>
    <x:col min="22" max="26" width="8.630000114440918" customWidth="1"/>
  </x:cols>
  <x:sheetData>
    <x:row r="1" ht="30" customHeight="1">
      <x:c r="A1" s="1" t="str">
        <x:v>Чёткий коллективный МАИ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3"/>
    </x:row>
    <x:row r="2" ht="45.75" customHeight="1">
      <x:c r="A2" s="4" t="str">
        <x:v>Экспертные попарные сравнения выполнены по шкале Саати. Коллективные оценки формируются как геометрическое среднее оценок четырёх экспертов; далее рассчитываются веса, локальные и глобальные приоритеты и коэффициенты согласованности CR.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3"/>
    </x:row>
    <x:row r="3" ht="14.25" customHeight="1">
      <x:c r="F3" s="12"/>
    </x:row>
    <x:row r="4" ht="14.25" customHeight="1">
      <x:c r="A4" s="5" t="s">
        <x:v>115</x:v>
      </x:c>
      <x:c r="B4" s="6"/>
      <x:c r="C4" s="7"/>
      <x:c r="F4" s="12"/>
      <x:c r="I4" s="13"/>
      <x:c r="J4" s="2"/>
      <x:c r="K4" s="2"/>
      <x:c r="L4" s="2"/>
      <x:c r="M4" s="2"/>
      <x:c r="N4" s="3"/>
    </x:row>
    <x:row r="5" ht="25.5" customHeight="1">
      <x:c r="A5" s="8" t="s">
        <x:v>116</x:v>
      </x:c>
      <x:c r="B5" s="8" t="s">
        <x:v>117</x:v>
      </x:c>
      <x:c r="C5" s="8" t="s">
        <x:v>118</x:v>
      </x:c>
      <x:c r="F5" s="12"/>
      <x:c r="I5" s="14"/>
      <x:c r="J5" s="15"/>
    </x:row>
    <x:row r="6" ht="25.5" customHeight="1">
      <x:c r="A6" s="9">
        <x:v>1.0</x:v>
      </x:c>
      <x:c r="B6" s="9" t="s">
        <x:v>119</x:v>
      </x:c>
      <x:c r="C6" s="9" t="s">
        <x:v>120</x:v>
      </x:c>
      <x:c r="F6" s="12"/>
      <x:c r="I6" s="16"/>
      <x:c r="J6" s="17" t="str">
        <x:v>Жёлтые ячейки — исходные экспертные оценки участников</x:v>
      </x:c>
      <x:c r="K6" s="19"/>
      <x:c r="L6" s="19"/>
      <x:c r="M6" s="19"/>
      <x:c r="N6" s="20"/>
    </x:row>
    <x:row r="7" ht="14.25" customHeight="1">
      <x:c r="A7" s="9">
        <x:v>3.0</x:v>
      </x:c>
      <x:c r="B7" s="9" t="s">
        <x:v>121</x:v>
      </x:c>
      <x:c r="C7" s="9" t="s">
        <x:v>122</x:v>
      </x:c>
      <x:c r="F7" s="12"/>
    </x:row>
    <x:row r="8" ht="14.25" customHeight="1">
      <x:c r="A8" s="9">
        <x:v>5.0</x:v>
      </x:c>
      <x:c r="B8" s="9" t="s">
        <x:v>123</x:v>
      </x:c>
      <x:c r="C8" s="9" t="s">
        <x:v>124</x:v>
      </x:c>
      <x:c r="F8" s="12"/>
    </x:row>
    <x:row r="9" ht="14.25" customHeight="1">
      <x:c r="A9" s="9">
        <x:v>7.0</x:v>
      </x:c>
      <x:c r="B9" s="9" t="s">
        <x:v>125</x:v>
      </x:c>
      <x:c r="C9" s="9" t="s">
        <x:v>126</x:v>
      </x:c>
      <x:c r="F9" s="12"/>
    </x:row>
    <x:row r="10" ht="14.25" customHeight="1">
      <x:c r="A10" s="9">
        <x:v>9.0</x:v>
      </x:c>
      <x:c r="B10" s="9" t="s">
        <x:v>127</x:v>
      </x:c>
      <x:c r="C10" s="9" t="s">
        <x:v>128</x:v>
      </x:c>
      <x:c r="F10" s="12"/>
    </x:row>
    <x:row r="11" ht="14.25" customHeight="1">
      <x:c r="A11" s="9" t="s">
        <x:v>129</x:v>
      </x:c>
      <x:c r="B11" s="9" t="s">
        <x:v>130</x:v>
      </x:c>
      <x:c r="C11" s="9" t="s">
        <x:v>131</x:v>
      </x:c>
      <x:c r="F11" s="12"/>
    </x:row>
    <x:row r="12" ht="14.25" customHeight="1">
      <x:c r="A12" s="9" t="s">
        <x:v>132</x:v>
      </x:c>
      <x:c r="B12" s="9" t="s">
        <x:v>133</x:v>
      </x:c>
      <x:c r="C12" s="9" t="s">
        <x:v>134</x:v>
      </x:c>
      <x:c r="F12" s="12"/>
    </x:row>
    <x:row r="13" ht="37.5" customHeight="1">
      <x:c r="A13" s="21"/>
      <x:c r="B13" s="22"/>
      <x:c r="C13" s="22"/>
      <x:c r="D13" s="22"/>
      <x:c r="E13" s="22"/>
      <x:c r="F13" s="22"/>
      <x:c r="G13" s="23"/>
    </x:row>
    <x:row r="14" ht="14.25" customHeight="1">
      <x:c r="F14" s="12"/>
    </x:row>
    <x:row r="15" ht="14.25" customHeight="1">
      <x:c r="A15" s="5" t="str">
        <x:v>1. Попарные сравнения критериев</x:v>
      </x:c>
      <x:c r="B15" s="6"/>
      <x:c r="C15" s="6"/>
      <x:c r="D15" s="6"/>
      <x:c r="E15" s="6"/>
      <x:c r="F15" s="6"/>
      <x:c r="G15" s="7"/>
      <x:c r="I15" s="5" t="s">
        <x:v>135</x:v>
      </x:c>
      <x:c r="J15" s="6"/>
      <x:c r="K15" s="6"/>
      <x:c r="L15" s="6"/>
      <x:c r="M15" s="6"/>
      <x:c r="N15" s="6"/>
      <x:c r="O15" s="6"/>
      <x:c r="P15" s="7"/>
    </x:row>
    <x:row r="16" ht="14.25" customHeight="1">
      <x:c r="A16" s="8" t="s">
        <x:v>136</x:v>
      </x:c>
      <x:c r="B16" s="8" t="s">
        <x:v>137</x:v>
      </x:c>
      <x:c r="C16" s="8" t="s">
        <x:v>138</x:v>
      </x:c>
      <x:c r="D16" s="8" t="s">
        <x:v>5</x:v>
      </x:c>
      <x:c r="E16" s="8" t="s">
        <x:v>6</x:v>
      </x:c>
      <x:c r="F16" s="24" t="s">
        <x:v>7</x:v>
      </x:c>
      <x:c r="G16" s="8" t="s">
        <x:v>8</x:v>
      </x:c>
      <x:c r="I16" s="8"/>
      <x:c r="J16" s="8" t="s">
        <x:v>9</x:v>
      </x:c>
      <x:c r="K16" s="8" t="s">
        <x:v>13</x:v>
      </x:c>
      <x:c r="L16" s="8" t="s">
        <x:v>17</x:v>
      </x:c>
      <x:c r="M16" s="8" t="s">
        <x:v>19</x:v>
      </x:c>
      <x:c r="N16" s="8" t="s">
        <x:v>21</x:v>
      </x:c>
      <x:c r="O16" s="8" t="s">
        <x:v>23</x:v>
      </x:c>
      <x:c r="P16" s="8" t="s">
        <x:v>25</x:v>
      </x:c>
      <x:c r="Q16" s="8" t="s">
        <x:v>139</x:v>
      </x:c>
      <x:c r="R16" s="8" t="s">
        <x:v>140</x:v>
      </x:c>
      <x:c r="S16" s="8" t="s">
        <x:v>141</x:v>
      </x:c>
      <x:c r="T16" s="8" t="s">
        <x:v>142</x:v>
      </x:c>
    </x:row>
    <x:row r="17" ht="14.25" customHeight="1">
      <x:c r="A17" s="9">
        <x:v>1.0</x:v>
      </x:c>
      <x:c r="B17" s="9" t="s">
        <x:v>9</x:v>
      </x:c>
      <x:c r="C17" s="9" t="s">
        <x:v>13</x:v>
      </x:c>
      <x:c r="D17" s="25">
        <x:v>2.0</x:v>
      </x:c>
      <x:c r="E17" s="26" t="n">
        <x:f>1/2</x:f>
        <x:v>0.5</x:v>
      </x:c>
      <x:c r="F17" s="27">
        <x:v>2.0</x:v>
      </x:c>
      <x:c r="G17" s="26" t="n">
        <x:f>1/2</x:f>
        <x:v>0.5</x:v>
      </x:c>
      <x:c r="I17" s="8" t="s">
        <x:v>9</x:v>
      </x:c>
      <x:c r="J17" s="28">
        <x:v>1.0</x:v>
      </x:c>
      <x:c r="K17" s="28" t="n">
        <x:f>IF(COUNT(D17:G17)&lt;4,"",POWER(PRODUCT(D17:G17),1/4))</x:f>
        <x:v>1</x:v>
      </x:c>
      <x:c r="L17" s="28" t="n">
        <x:f>IF(COUNT(D18:G18)&lt;4,"",POWER(PRODUCT(D18:G18),1/4))</x:f>
        <x:v>1.189207115002721</x:v>
      </x:c>
      <x:c r="M17" s="28" t="n">
        <x:f>IF(COUNT(D19:G19)&lt;4,"",POWER(PRODUCT(D19:G19),1/4))</x:f>
        <x:v>1.8803015465431967</x:v>
      </x:c>
      <x:c r="N17" s="28" t="n">
        <x:f>IF(COUNT(D20:G20)&lt;4,"",POWER(PRODUCT(D20:G20),1/4))</x:f>
        <x:v>1</x:v>
      </x:c>
      <x:c r="O17" s="28" t="n">
        <x:f>IF(COUNT(D21:G21)&lt;4,"",POWER(PRODUCT(D21:G21),1/4))</x:f>
        <x:v>1.4287202148493998</x:v>
      </x:c>
      <x:c r="P17" s="28" t="n">
        <x:f>IF(COUNT(D22:G22)&lt;4,"",POWER(PRODUCT(D22:G22),1/4))</x:f>
        <x:v>1.1892071149729908</x:v>
      </x:c>
      <x:c r="Q17" s="29" t="n">
        <x:f t="shared" ref="Q17:Q23" si="1">IF(NOT(COUNT($D$17:$G$37)=84),"",POWER(PRODUCT(J17:P17),1/7))</x:f>
        <x:v>1.2100764611025312</x:v>
      </x:c>
      <x:c r="R17" s="29" t="n">
        <x:f t="shared" ref="R17:R23" si="2">IF(NOT(COUNT($D$17:$G$37)=84),"",Q17/SUM($Q$17:$Q$23))</x:f>
        <x:v>0.17070648823857193</x:v>
      </x:c>
      <x:c r="S17" s="29" t="n">
        <x:f t="shared" ref="S17:S23" si="3">IF(NOT(COUNT($D$17:$G$37)=84),"",J17*$R$17+K17*$R$18+L17*$R$19+M17*$R$20+N17*$R$21+O17*$R$22+P17*$R$23)</x:f>
        <x:v>1.2032837930756684</x:v>
      </x:c>
      <x:c r="T17" s="29" t="n">
        <x:f t="shared" ref="T17:T23" si="4">IF(R17="","",S17/R17)</x:f>
        <x:v>7.048846271115433</x:v>
      </x:c>
    </x:row>
    <x:row r="18" ht="14.25" customHeight="1">
      <x:c r="A18" s="9">
        <x:v>2.0</x:v>
      </x:c>
      <x:c r="B18" s="9" t="s">
        <x:v>9</x:v>
      </x:c>
      <x:c r="C18" s="9" t="s">
        <x:v>17</x:v>
      </x:c>
      <x:c r="D18" s="25">
        <x:v>1.0</x:v>
      </x:c>
      <x:c r="E18" s="30">
        <x:v>2.0</x:v>
      </x:c>
      <x:c r="F18" s="31" t="n">
        <x:f>1/3</x:f>
        <x:v>0.3333333333333333</x:v>
      </x:c>
      <x:c r="G18" s="30">
        <x:v>3.0</x:v>
      </x:c>
      <x:c r="I18" s="8" t="s">
        <x:v>13</x:v>
      </x:c>
      <x:c r="J18" s="28" t="n">
        <x:f>IF(K17="","",1/K17)</x:f>
        <x:v>1</x:v>
      </x:c>
      <x:c r="K18" s="28">
        <x:v>1.0</x:v>
      </x:c>
      <x:c r="L18" s="28" t="n">
        <x:f>IF(COUNT(D23:G23)&lt;4,"",POWER(PRODUCT(D23:G23),1/4))</x:f>
        <x:v>0.9457416090031758</x:v>
      </x:c>
      <x:c r="M18" s="28" t="n">
        <x:f>IF(COUNT(D24:G24)&lt;4,"",POWER(PRODUCT(D24:G24),1/4))</x:f>
        <x:v>1.4953487812212205</x:v>
      </x:c>
      <x:c r="N18" s="28" t="n">
        <x:f>IF(COUNT(D25:G25)&lt;4,"",POWER(PRODUCT(D25:G25),1/4))</x:f>
        <x:v>1.1066819196726545</x:v>
      </x:c>
      <x:c r="O18" s="28" t="n">
        <x:f>IF(COUNT(D26:G26)&lt;4,"",POWER(PRODUCT(D26:G26),1/4))</x:f>
        <x:v>1.158292185288269</x:v>
      </x:c>
      <x:c r="P18" s="28" t="n">
        <x:f>IF(COUNT(D27:G27)&lt;4,"",POWER(PRODUCT(D27:G27),1/4))</x:f>
        <x:v>0.9457416090031758</x:v>
      </x:c>
      <x:c r="Q18" s="29">
        <x:f t="shared" si="1"/>
        <x:v>1.080057605</x:v>
      </x:c>
      <x:c r="R18" s="29">
        <x:f t="shared" si="2"/>
        <x:v>0.1523646206</x:v>
      </x:c>
      <x:c r="S18" s="29" t="n">
        <x:f t="shared" si="3">IF(NOT(COUNT($D$17:$G$37)=84),"",J18*$R$17+K18*$R$18+L18*$R$19+M18*$R$20+N18*$R$21+O18*$R$22+P18*$R$23)</x:f>
        <x:v>1.0690886008375549</x:v>
      </x:c>
      <x:c r="T18" s="29" t="n">
        <x:f t="shared" si="4">IF(R18="","",S18/R18)</x:f>
        <x:v>7.016645968254095</x:v>
      </x:c>
    </x:row>
    <x:row r="19" ht="14.25" customHeight="1">
      <x:c r="A19" s="9">
        <x:v>3.0</x:v>
      </x:c>
      <x:c r="B19" s="9" t="s">
        <x:v>9</x:v>
      </x:c>
      <x:c r="C19" s="9" t="s">
        <x:v>19</x:v>
      </x:c>
      <x:c r="D19" s="25">
        <x:v>1.0</x:v>
      </x:c>
      <x:c r="E19" s="30">
        <x:v>5.0</x:v>
      </x:c>
      <x:c r="F19" s="31" t="n">
        <x:f t="shared" ref="F19:F20" si="5">1/2</x:f>
        <x:v>0.5</x:v>
      </x:c>
      <x:c r="G19" s="30">
        <x:v>5.0</x:v>
      </x:c>
      <x:c r="I19" s="8" t="s">
        <x:v>17</x:v>
      </x:c>
      <x:c r="J19" s="28" t="n">
        <x:f>IF(L17="","",1/L17)</x:f>
        <x:v>0.8408964152537146</x:v>
      </x:c>
      <x:c r="K19" s="28" t="n">
        <x:f>IF(L18="","",1/L18)</x:f>
        <x:v>1.057371263440564</x:v>
      </x:c>
      <x:c r="L19" s="28">
        <x:v>1.0</x:v>
      </x:c>
      <x:c r="M19" s="28" t="n">
        <x:f>IF(COUNT(D28:G28)&lt;4,"",POWER(PRODUCT(D28:G28),1/4))</x:f>
        <x:v>1.681792830507429</x:v>
      </x:c>
      <x:c r="N19" s="28" t="n">
        <x:f>IF(COUNT(D29:G29)&lt;4,"",POWER(PRODUCT(D29:G29),1/4))</x:f>
        <x:v>1</x:v>
      </x:c>
      <x:c r="O19" s="28" t="n">
        <x:f>IF(COUNT(D30:G30)&lt;4,"",POWER(PRODUCT(D30:G30),1/4))</x:f>
        <x:v>1</x:v>
      </x:c>
      <x:c r="P19" s="28" t="n">
        <x:f>IF(COUNT(D31:G31)&lt;4,"",POWER(PRODUCT(D31:G31),1/4))</x:f>
        <x:v>1</x:v>
      </x:c>
      <x:c r="Q19" s="29">
        <x:f t="shared" si="1"/>
        <x:v>1.059164008</x:v>
      </x:c>
      <x:c r="R19" s="29">
        <x:f t="shared" si="2"/>
        <x:v>0.1494171435</x:v>
      </x:c>
      <x:c r="S19" s="29" t="n">
        <x:f t="shared" si="3">IF(NOT(COUNT($D$17:$G$37)=84),"",J19*$R$17+K19*$R$18+L19*$R$19+M19*$R$20+N19*$R$21+O19*$R$22+P19*$R$23)</x:f>
        <x:v>1.0477061646140893</x:v>
      </x:c>
      <x:c r="T19" s="29" t="n">
        <x:f t="shared" si="4">IF(R19="","",S19/R19)</x:f>
        <x:v>7.011954184588527</x:v>
      </x:c>
    </x:row>
    <x:row r="20" ht="14.25" customHeight="1">
      <x:c r="A20" s="9">
        <x:v>4.0</x:v>
      </x:c>
      <x:c r="B20" s="9" t="s">
        <x:v>9</x:v>
      </x:c>
      <x:c r="C20" s="9" t="s">
        <x:v>21</x:v>
      </x:c>
      <x:c r="D20" s="25">
        <x:v>1.0</x:v>
      </x:c>
      <x:c r="E20" s="30">
        <x:v>1.0</x:v>
      </x:c>
      <x:c r="F20" s="31">
        <x:f t="shared" si="5"/>
        <x:v>0.5</x:v>
      </x:c>
      <x:c r="G20" s="30">
        <x:v>2.0</x:v>
      </x:c>
      <x:c r="I20" s="8" t="s">
        <x:v>19</x:v>
      </x:c>
      <x:c r="J20" s="28" t="n">
        <x:f>IF(M17="","",1/M17)</x:f>
        <x:v>0.5318295896944989</x:v>
      </x:c>
      <x:c r="K20" s="28" t="n">
        <x:f>IF(M18="","",1/M18)</x:f>
        <x:v>0.668740304976422</x:v>
      </x:c>
      <x:c r="L20" s="28" t="n">
        <x:f>IF(M19="","",1/M19)</x:f>
        <x:v>0.5946035575013605</x:v>
      </x:c>
      <x:c r="M20" s="28">
        <x:v>1.0</x:v>
      </x:c>
      <x:c r="N20" s="28" t="n">
        <x:f>IF(COUNT(D32:G32)&lt;4,"",POWER(PRODUCT(D32:G32),1/4))</x:f>
        <x:v>0.9036020036098448</x:v>
      </x:c>
      <x:c r="O20" s="28" t="n">
        <x:f>IF(COUNT(D33:G33)&lt;4,"",POWER(PRODUCT(D33:G33),1/4))</x:f>
        <x:v>0.7071067811865476</x:v>
      </x:c>
      <x:c r="P20" s="28" t="n">
        <x:f>IF(COUNT(D34:G34)&lt;4,"",POWER(PRODUCT(D34:G34),1/4))</x:f>
        <x:v>0.537284965911771</x:v>
      </x:c>
      <x:c r="Q20" s="29">
        <x:f t="shared" si="1"/>
        <x:v>0.6875034956</x:v>
      </x:c>
      <x:c r="R20" s="29">
        <x:f t="shared" si="2"/>
        <x:v>0.09698668733</x:v>
      </x:c>
      <x:c r="S20" s="29" t="n">
        <x:f t="shared" si="3">IF(NOT(COUNT($D$17:$G$37)=84),"",J20*$R$17+K20*$R$18+L20*$R$19+M20*$R$20+N20*$R$21+O20*$R$22+P20*$R$23)</x:f>
        <x:v>0.6844976715390532</x:v>
      </x:c>
      <x:c r="T20" s="29" t="n">
        <x:f t="shared" si="4">IF(R20="","",S20/R20)</x:f>
        <x:v>7.057645645840342</x:v>
      </x:c>
    </x:row>
    <x:row r="21" ht="14.25" customHeight="1">
      <x:c r="A21" s="9">
        <x:v>5.0</x:v>
      </x:c>
      <x:c r="B21" s="9" t="s">
        <x:v>9</x:v>
      </x:c>
      <x:c r="C21" s="9" t="s">
        <x:v>23</x:v>
      </x:c>
      <x:c r="D21" s="25" t="n">
        <x:f>1/2</x:f>
        <x:v>0.5</x:v>
      </x:c>
      <x:c r="E21" s="30">
        <x:v>5.0</x:v>
      </x:c>
      <x:c r="F21" s="31" t="n">
        <x:f t="shared" ref="F21:F22" si="6">1/3</x:f>
        <x:v>0.3333333333333333</x:v>
      </x:c>
      <x:c r="G21" s="30">
        <x:v>5.0</x:v>
      </x:c>
      <x:c r="I21" s="8" t="s">
        <x:v>21</x:v>
      </x:c>
      <x:c r="J21" s="28" t="n">
        <x:f>IF(N17="","",1/N17)</x:f>
        <x:v>1</x:v>
      </x:c>
      <x:c r="K21" s="28" t="n">
        <x:f>IF(N18="","",1/N18)</x:f>
        <x:v>0.9036020036324349</x:v>
      </x:c>
      <x:c r="L21" s="28" t="n">
        <x:f>IF(N19="","",1/N19)</x:f>
        <x:v>1</x:v>
      </x:c>
      <x:c r="M21" s="28" t="n">
        <x:f>IF(N20="","",1/N20)</x:f>
        <x:v>1.1066819197003217</x:v>
      </x:c>
      <x:c r="N21" s="28">
        <x:v>1.0</x:v>
      </x:c>
      <x:c r="O21" s="28" t="n">
        <x:f>IF(COUNT(D35:G35)&lt;4,"",POWER(PRODUCT(D35:G35),1/4))</x:f>
        <x:v>0.8408964152537145</x:v>
      </x:c>
      <x:c r="P21" s="28" t="n">
        <x:f t="shared" ref="P21:P22" si="7">IF(COUNT(D36:G36)&lt;4,"",POWER(PRODUCT(D36:G36),1/4))</x:f>
        <x:v>1</x:v>
      </x:c>
      <x:c r="Q21" s="29">
        <x:f t="shared" si="1"/>
        <x:v>0.9755486421</x:v>
      </x:c>
      <x:c r="R21" s="29">
        <x:f t="shared" si="2"/>
        <x:v>0.1376214546</x:v>
      </x:c>
      <x:c r="S21" s="29" t="n">
        <x:f t="shared" si="3">IF(NOT(COUNT($D$17:$G$37)=84),"",J21*$R$17+K21*$R$18+L21*$R$19+M21*$R$20+N21*$R$21+O21*$R$22+P21*$R$23)</x:f>
        <x:v>0.9729300831231062</x:v>
      </x:c>
      <x:c r="T21" s="29" t="n">
        <x:f t="shared" si="4">IF(R21="","",S21/R21)</x:f>
        <x:v>7.069610519311473</x:v>
      </x:c>
    </x:row>
    <x:row r="22" ht="14.25" customHeight="1">
      <x:c r="A22" s="9">
        <x:v>6.0</x:v>
      </x:c>
      <x:c r="B22" s="9" t="s">
        <x:v>9</x:v>
      </x:c>
      <x:c r="C22" s="9" t="s">
        <x:v>25</x:v>
      </x:c>
      <x:c r="D22" s="25">
        <x:v>1.0</x:v>
      </x:c>
      <x:c r="E22" s="30">
        <x:v>2.0</x:v>
      </x:c>
      <x:c r="F22" s="31">
        <x:f t="shared" si="6"/>
        <x:v>0.3333333333</x:v>
      </x:c>
      <x:c r="G22" s="30">
        <x:v>3.0</x:v>
      </x:c>
      <x:c r="I22" s="8" t="s">
        <x:v>23</x:v>
      </x:c>
      <x:c r="J22" s="28" t="n">
        <x:f>IF(O17="","",1/O17)</x:f>
        <x:v>0.6999271023161167</x:v>
      </x:c>
      <x:c r="K22" s="28" t="n">
        <x:f>IF(O18="","",1/O18)</x:f>
        <x:v>0.8633400213704505</x:v>
      </x:c>
      <x:c r="L22" s="28" t="n">
        <x:f>IF(O19="","",1/O19)</x:f>
        <x:v>1</x:v>
      </x:c>
      <x:c r="M22" s="28" t="n">
        <x:f>IF(O20="","",1/O20)</x:f>
        <x:v>1.414213562373095</x:v>
      </x:c>
      <x:c r="N22" s="28" t="n">
        <x:f>IF(O21="","",1/O21)</x:f>
        <x:v>1.189207115002721</x:v>
      </x:c>
      <x:c r="O22" s="28">
        <x:v>1.0</x:v>
      </x:c>
      <x:c r="P22" s="28">
        <x:f t="shared" si="7"/>
        <x:v>1.074569932</x:v>
      </x:c>
      <x:c r="Q22" s="29">
        <x:f t="shared" si="1"/>
        <x:v>1.012658759</x:v>
      </x:c>
      <x:c r="R22" s="29">
        <x:f t="shared" si="2"/>
        <x:v>0.1428566096</x:v>
      </x:c>
      <x:c r="S22" s="29" t="n">
        <x:f t="shared" si="3">IF(NOT(COUNT($D$17:$G$37)=84),"",J22*$R$17+K22*$R$18+L22*$R$19+M22*$R$20+N22*$R$21+O22*$R$22+P22*$R$23)</x:f>
        <x:v>1.0053546175393384</x:v>
      </x:c>
      <x:c r="T22" s="29" t="n">
        <x:f t="shared" si="4">IF(R22="","",S22/R22)</x:f>
        <x:v>7.037508592387443</x:v>
      </x:c>
    </x:row>
    <x:row r="23" ht="14.25" customHeight="1">
      <x:c r="A23" s="9">
        <x:v>7.0</x:v>
      </x:c>
      <x:c r="B23" s="9" t="s">
        <x:v>13</x:v>
      </x:c>
      <x:c r="C23" s="9" t="s">
        <x:v>17</x:v>
      </x:c>
      <x:c r="D23" s="25" t="n">
        <x:f t="shared" ref="D23:D25" si="8">1/2</x:f>
        <x:v>0.5</x:v>
      </x:c>
      <x:c r="E23" s="30">
        <x:v>2.0</x:v>
      </x:c>
      <x:c r="F23" s="31" t="n">
        <x:f>1/5</x:f>
        <x:v>0.2</x:v>
      </x:c>
      <x:c r="G23" s="30">
        <x:v>4.0</x:v>
      </x:c>
      <x:c r="I23" s="8" t="s">
        <x:v>25</x:v>
      </x:c>
      <x:c r="J23" s="28" t="n">
        <x:f>IF(P17="","",1/P17)</x:f>
        <x:v>0.840896415274737</x:v>
      </x:c>
      <x:c r="K23" s="28" t="n">
        <x:f>IF(P18="","",1/P18)</x:f>
        <x:v>1.057371263440564</x:v>
      </x:c>
      <x:c r="L23" s="28" t="n">
        <x:f>IF(P19="","",1/P19)</x:f>
        <x:v>1</x:v>
      </x:c>
      <x:c r="M23" s="28" t="n">
        <x:f>IF(P20="","",1/P20)</x:f>
        <x:v>1.8612097182041991</x:v>
      </x:c>
      <x:c r="N23" s="28" t="n">
        <x:f>IF(P21="","",1/P21)</x:f>
        <x:v>1</x:v>
      </x:c>
      <x:c r="O23" s="28" t="n">
        <x:f>IF(P22="","",1/P22)</x:f>
        <x:v>0.9306048589492825</x:v>
      </x:c>
      <x:c r="P23" s="28">
        <x:v>1.0</x:v>
      </x:c>
      <x:c r="Q23" s="29">
        <x:f t="shared" si="1"/>
        <x:v>1.063628805</x:v>
      </x:c>
      <x:c r="R23" s="29">
        <x:f t="shared" si="2"/>
        <x:v>0.1500469961</x:v>
      </x:c>
      <x:c r="S23" s="29" t="n">
        <x:f t="shared" si="3">IF(NOT(COUNT($D$17:$G$37)=84),"",J23*$R$17+K23*$R$18+L23*$R$19+M23*$R$20+N23*$R$21+O23*$R$22+P23*$R$23)</x:f>
        <x:v>1.0551936596332272</x:v>
      </x:c>
      <x:c r="T23" s="29" t="n">
        <x:f t="shared" si="4">IF(R23="","",S23/R23)</x:f>
        <x:v>7.032421088456747</x:v>
      </x:c>
    </x:row>
    <x:row r="24" ht="14.25" customHeight="1">
      <x:c r="A24" s="9">
        <x:v>8.0</x:v>
      </x:c>
      <x:c r="B24" s="9" t="s">
        <x:v>13</x:v>
      </x:c>
      <x:c r="C24" s="9" t="s">
        <x:v>19</x:v>
      </x:c>
      <x:c r="D24" s="25">
        <x:f t="shared" si="8"/>
        <x:v>0.5</x:v>
      </x:c>
      <x:c r="E24" s="30">
        <x:v>5.0</x:v>
      </x:c>
      <x:c r="F24" s="31" t="n">
        <x:f t="shared" ref="F24:F25" si="9">1/3</x:f>
        <x:v>0.3333333333333333</x:v>
      </x:c>
      <x:c r="G24" s="30">
        <x:v>6.0</x:v>
      </x:c>
    </x:row>
    <x:row r="25" ht="14.25" customHeight="1">
      <x:c r="A25" s="9">
        <x:v>9.0</x:v>
      </x:c>
      <x:c r="B25" s="9" t="s">
        <x:v>13</x:v>
      </x:c>
      <x:c r="C25" s="9" t="s">
        <x:v>21</x:v>
      </x:c>
      <x:c r="D25" s="25">
        <x:f t="shared" si="8"/>
        <x:v>0.5</x:v>
      </x:c>
      <x:c r="E25" s="30">
        <x:v>3.0</x:v>
      </x:c>
      <x:c r="F25" s="31">
        <x:f t="shared" si="9"/>
        <x:v>0.3333333333</x:v>
      </x:c>
      <x:c r="G25" s="30">
        <x:v>3.0</x:v>
      </x:c>
      <x:c r="Q25" s="35" t="s">
        <x:v>143</x:v>
      </x:c>
      <x:c r="R25" s="36" t="n">
        <x:f>IF(NOT(COUNT($D$17:$G$37)=84),"",AVERAGE(T17:T23))</x:f>
        <x:v>7.0392331814220075</x:v>
      </x:c>
    </x:row>
    <x:row r="26" ht="14.25" customHeight="1">
      <x:c r="A26" s="9">
        <x:v>10.0</x:v>
      </x:c>
      <x:c r="B26" s="9" t="s">
        <x:v>13</x:v>
      </x:c>
      <x:c r="C26" s="9" t="s">
        <x:v>23</x:v>
      </x:c>
      <x:c r="D26" s="25" t="n">
        <x:f>1/4</x:f>
        <x:v>0.25</x:v>
      </x:c>
      <x:c r="E26" s="30">
        <x:v>6.0</x:v>
      </x:c>
      <x:c r="F26" s="31" t="n">
        <x:f t="shared" ref="F26:F27" si="10">1/5</x:f>
        <x:v>0.2</x:v>
      </x:c>
      <x:c r="G26" s="30">
        <x:v>6.0</x:v>
      </x:c>
      <x:c r="Q26" s="37" t="s">
        <x:v>144</x:v>
      </x:c>
      <x:c r="R26" s="38" t="n">
        <x:f>IF(R25="","",(R25-7)/6)</x:f>
        <x:v>0.0065388635703345814</x:v>
      </x:c>
    </x:row>
    <x:row r="27" ht="14.25" customHeight="1">
      <x:c r="A27" s="9">
        <x:v>11.0</x:v>
      </x:c>
      <x:c r="B27" s="9" t="s">
        <x:v>13</x:v>
      </x:c>
      <x:c r="C27" s="9" t="s">
        <x:v>25</x:v>
      </x:c>
      <x:c r="D27" s="25" t="n">
        <x:f>1/2</x:f>
        <x:v>0.5</x:v>
      </x:c>
      <x:c r="E27" s="30">
        <x:v>2.0</x:v>
      </x:c>
      <x:c r="F27" s="31">
        <x:f t="shared" si="10"/>
        <x:v>0.2</x:v>
      </x:c>
      <x:c r="G27" s="30">
        <x:v>4.0</x:v>
      </x:c>
      <x:c r="Q27" s="37" t="s">
        <x:v>145</x:v>
      </x:c>
      <x:c r="R27" s="38">
        <x:v>1.32</x:v>
      </x:c>
    </x:row>
    <x:row r="28" ht="14.25" customHeight="1">
      <x:c r="A28" s="9">
        <x:v>12.0</x:v>
      </x:c>
      <x:c r="B28" s="9" t="s">
        <x:v>17</x:v>
      </x:c>
      <x:c r="C28" s="9" t="s">
        <x:v>19</x:v>
      </x:c>
      <x:c r="D28" s="25">
        <x:v>1.0</x:v>
      </x:c>
      <x:c r="E28" s="30">
        <x:v>2.0</x:v>
      </x:c>
      <x:c r="F28" s="27">
        <x:v>2.0</x:v>
      </x:c>
      <x:c r="G28" s="30">
        <x:v>2.0</x:v>
      </x:c>
      <x:c r="Q28" s="37" t="s">
        <x:v>146</x:v>
      </x:c>
      <x:c r="R28" s="38" t="n">
        <x:f>IF(R26="","",R26/R27)</x:f>
        <x:v>0.004953684522980744</x:v>
      </x:c>
    </x:row>
    <x:row r="29" ht="13.5" customHeight="1">
      <x:c r="A29" s="9">
        <x:v>13.0</x:v>
      </x:c>
      <x:c r="B29" s="9" t="s">
        <x:v>17</x:v>
      </x:c>
      <x:c r="C29" s="9" t="s">
        <x:v>21</x:v>
      </x:c>
      <x:c r="D29" s="25">
        <x:v>1.0</x:v>
      </x:c>
      <x:c r="E29" s="30">
        <x:v>1.0</x:v>
      </x:c>
      <x:c r="F29" s="27">
        <x:v>2.0</x:v>
      </x:c>
      <x:c r="G29" s="26" t="n">
        <x:f>1/2</x:f>
        <x:v>0.5</x:v>
      </x:c>
      <x:c r="Q29" s="39" t="s">
        <x:v>147</x:v>
      </x:c>
      <x:c r="R29" s="40" t="str">
        <x:f>IF(R28="","",IF(R28&lt;=0.1,"OK","Проверить оценки"))</x:f>
        <x:v>OK</x:v>
      </x:c>
    </x:row>
    <x:row r="30" ht="14.25" customHeight="1">
      <x:c r="A30" s="9">
        <x:v>14.0</x:v>
      </x:c>
      <x:c r="B30" s="9" t="s">
        <x:v>17</x:v>
      </x:c>
      <x:c r="C30" s="9" t="s">
        <x:v>23</x:v>
      </x:c>
      <x:c r="D30" s="25" t="n">
        <x:f>1/2</x:f>
        <x:v>0.5</x:v>
      </x:c>
      <x:c r="E30" s="30">
        <x:v>1.0</x:v>
      </x:c>
      <x:c r="F30" s="27">
        <x:v>1.0</x:v>
      </x:c>
      <x:c r="G30" s="30">
        <x:v>2.0</x:v>
      </x:c>
    </x:row>
    <x:row r="31" ht="14.25" customHeight="1">
      <x:c r="A31" s="9">
        <x:v>15.0</x:v>
      </x:c>
      <x:c r="B31" s="9" t="s">
        <x:v>17</x:v>
      </x:c>
      <x:c r="C31" s="9" t="s">
        <x:v>25</x:v>
      </x:c>
      <x:c r="D31" s="25">
        <x:v>1.0</x:v>
      </x:c>
      <x:c r="E31" s="30">
        <x:v>1.0</x:v>
      </x:c>
      <x:c r="F31" s="27">
        <x:v>1.0</x:v>
      </x:c>
      <x:c r="G31" s="30">
        <x:v>1.0</x:v>
      </x:c>
    </x:row>
    <x:row r="32" ht="14.25" customHeight="1">
      <x:c r="A32" s="9">
        <x:v>16.0</x:v>
      </x:c>
      <x:c r="B32" s="9" t="s">
        <x:v>19</x:v>
      </x:c>
      <x:c r="C32" s="9" t="s">
        <x:v>21</x:v>
      </x:c>
      <x:c r="D32" s="25">
        <x:v>1.0</x:v>
      </x:c>
      <x:c r="E32" s="30">
        <x:v>2.0</x:v>
      </x:c>
      <x:c r="F32" s="27">
        <x:v>1.0</x:v>
      </x:c>
      <x:c r="G32" s="41" t="n">
        <x:f>1/3</x:f>
        <x:v>0.3333333333333333</x:v>
      </x:c>
    </x:row>
    <x:row r="33" ht="14.25" customHeight="1">
      <x:c r="A33" s="9">
        <x:v>17.0</x:v>
      </x:c>
      <x:c r="B33" s="9" t="s">
        <x:v>19</x:v>
      </x:c>
      <x:c r="C33" s="9" t="s">
        <x:v>23</x:v>
      </x:c>
      <x:c r="D33" s="25" t="n">
        <x:f>1/2</x:f>
        <x:v>0.5</x:v>
      </x:c>
      <x:c r="E33" s="30">
        <x:v>1.0</x:v>
      </x:c>
      <x:c r="F33" s="31" t="n">
        <x:f>1/2</x:f>
        <x:v>0.5</x:v>
      </x:c>
      <x:c r="G33" s="30">
        <x:v>1.0</x:v>
      </x:c>
    </x:row>
    <x:row r="34" ht="14.25" customHeight="1">
      <x:c r="A34" s="9">
        <x:v>18.0</x:v>
      </x:c>
      <x:c r="B34" s="9" t="s">
        <x:v>19</x:v>
      </x:c>
      <x:c r="C34" s="9" t="s">
        <x:v>25</x:v>
      </x:c>
      <x:c r="D34" s="25">
        <x:v>1.0</x:v>
      </x:c>
      <x:c r="E34" s="31" t="n">
        <x:f t="shared" ref="E34:F34" si="11">1/2</x:f>
        <x:v>0.5</x:v>
      </x:c>
      <x:c r="F34" s="31">
        <x:f t="shared" si="11"/>
        <x:v>0.5</x:v>
      </x:c>
      <x:c r="G34" s="41" t="n">
        <x:f>1/3</x:f>
        <x:v>0.3333333333333333</x:v>
      </x:c>
    </x:row>
    <x:row r="35" ht="14.25" customHeight="1">
      <x:c r="A35" s="9">
        <x:v>19.0</x:v>
      </x:c>
      <x:c r="B35" s="9" t="s">
        <x:v>21</x:v>
      </x:c>
      <x:c r="C35" s="9" t="s">
        <x:v>23</x:v>
      </x:c>
      <x:c r="D35" s="25" t="n">
        <x:f>1/2</x:f>
        <x:v>0.5</x:v>
      </x:c>
      <x:c r="E35" s="31" t="n">
        <x:f t="shared" ref="E35:F35" si="12">1/2</x:f>
        <x:v>0.5</x:v>
      </x:c>
      <x:c r="F35" s="31">
        <x:f t="shared" si="12"/>
        <x:v>0.5</x:v>
      </x:c>
      <x:c r="G35" s="30">
        <x:v>4.0</x:v>
      </x:c>
    </x:row>
    <x:row r="36" ht="14.25" customHeight="1">
      <x:c r="A36" s="9">
        <x:v>20.0</x:v>
      </x:c>
      <x:c r="B36" s="9" t="s">
        <x:v>21</x:v>
      </x:c>
      <x:c r="C36" s="9" t="s">
        <x:v>25</x:v>
      </x:c>
      <x:c r="D36" s="25">
        <x:v>1.0</x:v>
      </x:c>
      <x:c r="E36" s="30">
        <x:v>1.0</x:v>
      </x:c>
      <x:c r="F36" s="31" t="n">
        <x:f>1/2</x:f>
        <x:v>0.5</x:v>
      </x:c>
      <x:c r="G36" s="30">
        <x:v>2.0</x:v>
      </x:c>
    </x:row>
    <x:row r="37" ht="14.25" customHeight="1">
      <x:c r="A37" s="9">
        <x:v>21.0</x:v>
      </x:c>
      <x:c r="B37" s="9" t="s">
        <x:v>23</x:v>
      </x:c>
      <x:c r="C37" s="9" t="s">
        <x:v>25</x:v>
      </x:c>
      <x:c r="D37" s="25">
        <x:v>2.0</x:v>
      </x:c>
      <x:c r="E37" s="30">
        <x:v>2.0</x:v>
      </x:c>
      <x:c r="F37" s="27">
        <x:v>1.0</x:v>
      </x:c>
      <x:c r="G37" s="41" t="n">
        <x:f>1/3</x:f>
        <x:v>0.3333333333333333</x:v>
      </x:c>
    </x:row>
    <x:row r="38" ht="14.25" customHeight="1">
      <x:c r="F38" s="12"/>
    </x:row>
    <x:row r="39" ht="14.25" customHeight="1">
      <x:c r="F39" s="12"/>
    </x:row>
    <x:row r="40" ht="14.25" customHeight="1">
      <x:c r="F40" s="12"/>
    </x:row>
    <x:row r="41" ht="14.25" customHeight="1">
      <x:c r="F41" s="12"/>
    </x:row>
    <x:row r="42" ht="14.25" customHeight="1">
      <x:c r="A42" s="5" t="s">
        <x:v>148</x:v>
      </x:c>
      <x:c r="B42" s="6"/>
      <x:c r="C42" s="6"/>
      <x:c r="D42" s="6"/>
      <x:c r="E42" s="6"/>
      <x:c r="F42" s="6"/>
      <x:c r="G42" s="7"/>
      <x:c r="I42" s="5" t="s">
        <x:v>149</x:v>
      </x:c>
      <x:c r="J42" s="6"/>
      <x:c r="K42" s="6"/>
      <x:c r="L42" s="6"/>
      <x:c r="M42" s="6"/>
      <x:c r="N42" s="6"/>
      <x:c r="O42" s="7"/>
    </x:row>
    <x:row r="43" ht="14.25" customHeight="1">
      <x:c r="A43" s="8" t="s">
        <x:v>136</x:v>
      </x:c>
      <x:c r="B43" s="8" t="s">
        <x:v>150</x:v>
      </x:c>
      <x:c r="C43" s="8" t="s">
        <x:v>151</x:v>
      </x:c>
      <x:c r="D43" s="8" t="s">
        <x:v>5</x:v>
      </x:c>
      <x:c r="E43" s="8" t="s">
        <x:v>6</x:v>
      </x:c>
      <x:c r="F43" s="24" t="s">
        <x:v>7</x:v>
      </x:c>
      <x:c r="G43" s="8" t="s">
        <x:v>8</x:v>
      </x:c>
      <x:c r="I43" s="8"/>
      <x:c r="J43" s="8" t="s">
        <x:v>29</x:v>
      </x:c>
      <x:c r="K43" s="8" t="s">
        <x:v>31</x:v>
      </x:c>
      <x:c r="L43" s="8" t="s">
        <x:v>34</x:v>
      </x:c>
      <x:c r="M43" s="8" t="s">
        <x:v>35</x:v>
      </x:c>
      <x:c r="N43" s="8" t="s">
        <x:v>36</x:v>
      </x:c>
      <x:c r="O43" s="8" t="s">
        <x:v>37</x:v>
      </x:c>
      <x:c r="Q43" s="8" t="s">
        <x:v>139</x:v>
      </x:c>
      <x:c r="R43" s="8" t="s">
        <x:v>152</x:v>
      </x:c>
      <x:c r="S43" s="8" t="s">
        <x:v>141</x:v>
      </x:c>
      <x:c r="T43" s="8" t="s">
        <x:v>142</x:v>
      </x:c>
    </x:row>
    <x:row r="44" ht="14.25" customHeight="1">
      <x:c r="A44" s="9">
        <x:v>1.0</x:v>
      </x:c>
      <x:c r="B44" s="9" t="s">
        <x:v>29</x:v>
      </x:c>
      <x:c r="C44" s="9" t="s">
        <x:v>31</x:v>
      </x:c>
      <x:c r="D44" s="25">
        <x:v>8.0</x:v>
      </x:c>
      <x:c r="E44" s="30">
        <x:v>8.0</x:v>
      </x:c>
      <x:c r="F44" s="27">
        <x:v>9.0</x:v>
      </x:c>
      <x:c r="G44" s="43">
        <x:v>1.0</x:v>
      </x:c>
      <x:c r="I44" s="8" t="s">
        <x:v>29</x:v>
      </x:c>
      <x:c r="J44" s="28">
        <x:v>1.0</x:v>
      </x:c>
      <x:c r="K44" s="28" t="n">
        <x:f>IF(COUNT(D44:G44)&lt;4,"",POWER(PRODUCT(D44:G44),1/4))</x:f>
        <x:v>4.898979485566356</x:v>
      </x:c>
      <x:c r="L44" s="28" t="n">
        <x:f>IF(COUNT(D45:G45)&lt;4,"",POWER(PRODUCT(D45:G45),1/4))</x:f>
        <x:v>1.681792830507429</x:v>
      </x:c>
      <x:c r="M44" s="28" t="n">
        <x:f>IF(COUNT(D46:G46)&lt;4,"",POWER(PRODUCT(D46:G46),1/4))</x:f>
        <x:v>3.1622776601683795</x:v>
      </x:c>
      <x:c r="N44" s="28" t="n">
        <x:f>IF(COUNT(D47:G47)&lt;4,"",POWER(PRODUCT(D47:G47),1/4))</x:f>
        <x:v>1.5650845800732873</x:v>
      </x:c>
      <x:c r="O44" s="28" t="n">
        <x:f>IF(COUNT(D48:G48)&lt;4,"",POWER(PRODUCT(D48:G48),1/4))</x:f>
        <x:v>2.990697562442441</x:v>
      </x:c>
      <x:c r="Q44" s="29" t="n">
        <x:f t="shared" ref="Q44:Q49" si="13">IF(NOT(COUNT($D$44:$G$58)=60),"",POWER(PRODUCT(J44:O44),1/6))</x:f>
        <x:v>2.226886442009564</x:v>
      </x:c>
      <x:c r="R44" s="29" t="n">
        <x:f t="shared" ref="R44:R49" si="14">IF(NOT(COUNT($D$44:$G$58)=60),"",Q44/SUM($Q$44:$Q$49))</x:f>
        <x:v>0.3165403954011422</x:v>
      </x:c>
      <x:c r="S44" s="29" t="n">
        <x:f t="shared" ref="S44:S49" si="15">IF(NOT(COUNT($D$44:$G$58)=60),"",J44*$R$44+K44*$R$45+L44*$R$46+M44*$R$47+N44*$R$48+O44*$R$49)</x:f>
        <x:v>1.906225188726627</x:v>
      </x:c>
      <x:c r="T44" s="29" t="n">
        <x:f t="shared" ref="T44:T49" si="16">IF(R44="","",S44/R44)</x:f>
        <x:v>6.0220597952780235</x:v>
      </x:c>
    </x:row>
    <x:row r="45" ht="14.25" customHeight="1">
      <x:c r="A45" s="9">
        <x:v>2.0</x:v>
      </x:c>
      <x:c r="B45" s="9" t="s">
        <x:v>29</x:v>
      </x:c>
      <x:c r="C45" s="9" t="s">
        <x:v>34</x:v>
      </x:c>
      <x:c r="D45" s="25">
        <x:v>2.0</x:v>
      </x:c>
      <x:c r="E45" s="30">
        <x:v>4.0</x:v>
      </x:c>
      <x:c r="F45" s="27">
        <x:v>3.0</x:v>
      </x:c>
      <x:c r="G45" s="41" t="n">
        <x:f>1/3</x:f>
        <x:v>0.3333333333333333</x:v>
      </x:c>
      <x:c r="I45" s="8" t="s">
        <x:v>31</x:v>
      </x:c>
      <x:c r="J45" s="28" t="n">
        <x:f>IF(K44="","",1/K44)</x:f>
        <x:v>0.20412414523193154</x:v>
      </x:c>
      <x:c r="K45" s="28">
        <x:v>1.0</x:v>
      </x:c>
      <x:c r="L45" s="28" t="n">
        <x:f>IF(COUNT(D49:G49)&lt;4,"",POWER(PRODUCT(D49:G49),1/4))</x:f>
        <x:v>0.24028114141347545</x:v>
      </x:c>
      <x:c r="M45" s="28" t="n">
        <x:f>IF(COUNT(D50:G50)&lt;4,"",POWER(PRODUCT(D50:G50),1/4))</x:f>
        <x:v>0.537284965911771</x:v>
      </x:c>
      <x:c r="N45" s="28" t="n">
        <x:f>IF(COUNT(D51:G51)&lt;4,"",POWER(PRODUCT(D51:G51),1/4))</x:f>
        <x:v>0.2730120862709067</x:v>
      </x:c>
      <x:c r="O45" s="28" t="n">
        <x:f>IF(COUNT(D52:G52)&lt;4,"",POWER(PRODUCT(D52:G52),1/4))</x:f>
        <x:v>0.4854917716951861</x:v>
      </x:c>
      <x:c r="Q45" s="29">
        <x:f t="shared" si="13"/>
        <x:v>0.3895205878</x:v>
      </x:c>
      <x:c r="R45" s="29">
        <x:f t="shared" si="14"/>
        <x:v>0.05536833786</x:v>
      </x:c>
      <x:c r="S45" s="29" t="n">
        <x:f t="shared" si="15">IF(NOT(COUNT($D$44:$G$58)=60),"",J45*$R$44+K45*$R$45+L45*$R$46+M45*$R$47+N45*$R$48+O45*$R$49)</x:f>
        <x:v>0.3333464780865982</x:v>
      </x:c>
      <x:c r="T45" s="29" t="n">
        <x:f t="shared" si="16">IF(R45="","",S45/R45)</x:f>
        <x:v>6.02052528521755</x:v>
      </x:c>
    </x:row>
    <x:row r="46" ht="14.25" customHeight="1">
      <x:c r="A46" s="9">
        <x:v>3.0</x:v>
      </x:c>
      <x:c r="B46" s="9" t="s">
        <x:v>29</x:v>
      </x:c>
      <x:c r="C46" s="9" t="s">
        <x:v>35</x:v>
      </x:c>
      <x:c r="D46" s="25">
        <x:v>4.0</x:v>
      </x:c>
      <x:c r="E46" s="30">
        <x:v>5.0</x:v>
      </x:c>
      <x:c r="F46" s="27">
        <x:v>5.0</x:v>
      </x:c>
      <x:c r="G46" s="43">
        <x:v>1.0</x:v>
      </x:c>
      <x:c r="I46" s="8" t="s">
        <x:v>34</x:v>
      </x:c>
      <x:c r="J46" s="28" t="n">
        <x:f>IF(L44="","",1/L44)</x:f>
        <x:v>0.5946035575013605</x:v>
      </x:c>
      <x:c r="K46" s="28" t="n">
        <x:f>IF(L45="","",1/L45)</x:f>
        <x:v>4.161791450287817</x:v>
      </x:c>
      <x:c r="L46" s="28">
        <x:v>1.0</x:v>
      </x:c>
      <x:c r="M46" s="28" t="n">
        <x:f>IF(COUNT(D53:G53)&lt;4,"",POWER(PRODUCT(D53:G53),1/4))</x:f>
        <x:v>2.213363839400643</x:v>
      </x:c>
      <x:c r="N46" s="28" t="n">
        <x:f>IF(COUNT(D54:G54)&lt;4,"",POWER(PRODUCT(D54:G54),1/4))</x:f>
        <x:v>1</x:v>
      </x:c>
      <x:c r="O46" s="28" t="n">
        <x:f>IF(COUNT(D55:G55)&lt;4,"",POWER(PRODUCT(D55:G55),1/4))</x:f>
        <x:v>2.213363839400643</x:v>
      </x:c>
      <x:c r="Q46" s="29">
        <x:f t="shared" si="13"/>
        <x:v>1.515661572</x:v>
      </x:c>
      <x:c r="R46" s="29">
        <x:f t="shared" si="14"/>
        <x:v>0.2154434569</x:v>
      </x:c>
      <x:c r="S46" s="29" t="n">
        <x:f t="shared" si="15">IF(NOT(COUNT($D$44:$G$58)=60),"",J46*$R$44+K46*$R$45+L46*$R$46+M46*$R$47+N46*$R$48+O46*$R$49)</x:f>
        <x:v>1.2958116647814406</x:v>
      </x:c>
      <x:c r="T46" s="29" t="n">
        <x:f t="shared" si="16">IF(R46="","",S46/R46)</x:f>
        <x:v>6.014625291604484</x:v>
      </x:c>
    </x:row>
    <x:row r="47" ht="14.25" customHeight="1">
      <x:c r="A47" s="9">
        <x:v>4.0</x:v>
      </x:c>
      <x:c r="B47" s="9" t="s">
        <x:v>29</x:v>
      </x:c>
      <x:c r="C47" s="9" t="s">
        <x:v>36</x:v>
      </x:c>
      <x:c r="D47" s="25">
        <x:v>2.0</x:v>
      </x:c>
      <x:c r="E47" s="30">
        <x:v>3.0</x:v>
      </x:c>
      <x:c r="F47" s="27">
        <x:v>3.0</x:v>
      </x:c>
      <x:c r="G47" s="41" t="n">
        <x:f>1/3</x:f>
        <x:v>0.3333333333333333</x:v>
      </x:c>
      <x:c r="I47" s="8" t="s">
        <x:v>35</x:v>
      </x:c>
      <x:c r="J47" s="28" t="n">
        <x:f>IF(M44="","",1/M44)</x:f>
        <x:v>0.31622776601683794</x:v>
      </x:c>
      <x:c r="K47" s="28" t="n">
        <x:f>IF(M45="","",1/M45)</x:f>
        <x:v>1.8612097182041991</x:v>
      </x:c>
      <x:c r="L47" s="28" t="n">
        <x:f>IF(M46="","",1/M46)</x:f>
        <x:v>0.45180100180492244</x:v>
      </x:c>
      <x:c r="M47" s="28">
        <x:v>1.0</x:v>
      </x:c>
      <x:c r="N47" s="28" t="n">
        <x:f>IF(COUNT(D56:G56)&lt;4,"",POWER(PRODUCT(D56:G56),1/4))</x:f>
        <x:v>0.537284965911771</x:v>
      </x:c>
      <x:c r="O47" s="28" t="n">
        <x:f t="shared" ref="O47:O48" si="17">IF(COUNT(D57:G57)&lt;4,"",POWER(PRODUCT(D57:G57),1/4))</x:f>
        <x:v>1</x:v>
      </x:c>
      <x:c r="Q47" s="29">
        <x:f t="shared" si="13"/>
        <x:v>0.7230325763</x:v>
      </x:c>
      <x:c r="R47" s="29">
        <x:f t="shared" si="14"/>
        <x:v>0.1027753429</x:v>
      </x:c>
      <x:c r="S47" s="29" t="n">
        <x:f t="shared" si="15">IF(NOT(COUNT($D$44:$G$58)=60),"",J47*$R$44+K47*$R$45+L47*$R$46+M47*$R$47+N47*$R$48+O47*$R$49)</x:f>
        <x:v>0.6171816667062122</x:v>
      </x:c>
      <x:c r="T47" s="29" t="n">
        <x:f t="shared" si="16">IF(R47="","",S47/R47)</x:f>
        <x:v>6.005153077491822</x:v>
      </x:c>
    </x:row>
    <x:row r="48" ht="14.25" customHeight="1">
      <x:c r="A48" s="9">
        <x:v>5.0</x:v>
      </x:c>
      <x:c r="B48" s="9" t="s">
        <x:v>29</x:v>
      </x:c>
      <x:c r="C48" s="9" t="s">
        <x:v>37</x:v>
      </x:c>
      <x:c r="D48" s="25">
        <x:v>4.0</x:v>
      </x:c>
      <x:c r="E48" s="30">
        <x:v>4.0</x:v>
      </x:c>
      <x:c r="F48" s="27">
        <x:v>5.0</x:v>
      </x:c>
      <x:c r="G48" s="43">
        <x:v>1.0</x:v>
      </x:c>
      <x:c r="I48" s="8" t="s">
        <x:v>36</x:v>
      </x:c>
      <x:c r="J48" s="28" t="n">
        <x:f>IF(N44="","",1/N44)</x:f>
        <x:v>0.6389431042462724</x:v>
      </x:c>
      <x:c r="K48" s="28" t="n">
        <x:f>IF(N45="","",1/N45)</x:f>
        <x:v>3.6628415014847064</x:v>
      </x:c>
      <x:c r="L48" s="28" t="n">
        <x:f>IF(N46="","",1/N46)</x:f>
        <x:v>1</x:v>
      </x:c>
      <x:c r="M48" s="28" t="n">
        <x:f>IF(N47="","",1/N47)</x:f>
        <x:v>1.8612097182041991</x:v>
      </x:c>
      <x:c r="N48" s="28">
        <x:v>1.0</x:v>
      </x:c>
      <x:c r="O48" s="28">
        <x:f t="shared" si="17"/>
        <x:v>2.213363839</x:v>
      </x:c>
      <x:c r="Q48" s="29">
        <x:f t="shared" si="13"/>
        <x:v>1.458886166</x:v>
      </x:c>
      <x:c r="R48" s="29">
        <x:f t="shared" si="14"/>
        <x:v>0.2073731264</x:v>
      </x:c>
      <x:c r="S48" s="29" t="n">
        <x:f t="shared" si="15">IF(NOT(COUNT($D$44:$G$58)=60),"",J48*$R$44+K48*$R$45+L48*$R$46+M48*$R$47+N48*$R$48+O48*$R$49)</x:f>
        <x:v>1.246028132498744</x:v>
      </x:c>
      <x:c r="T48" s="29" t="n">
        <x:f t="shared" si="16">IF(R48="","",S48/R48)</x:f>
        <x:v>6.008628765596621</x:v>
      </x:c>
    </x:row>
    <x:row r="49" ht="14.25" customHeight="1">
      <x:c r="A49" s="9">
        <x:v>6.0</x:v>
      </x:c>
      <x:c r="B49" s="9" t="s">
        <x:v>31</x:v>
      </x:c>
      <x:c r="C49" s="9" t="s">
        <x:v>34</x:v>
      </x:c>
      <x:c r="D49" s="25" t="n">
        <x:f>1/4</x:f>
        <x:v>0.25</x:v>
      </x:c>
      <x:c r="E49" s="31" t="n">
        <x:f t="shared" ref="E49:F49" si="18">1/5</x:f>
        <x:v>0.2</x:v>
      </x:c>
      <x:c r="F49" s="31">
        <x:f t="shared" si="18"/>
        <x:v>0.2</x:v>
      </x:c>
      <x:c r="G49" s="44" t="n">
        <x:f>1/3</x:f>
        <x:v>0.3333333333333333</x:v>
      </x:c>
      <x:c r="I49" s="8" t="s">
        <x:v>37</x:v>
      </x:c>
      <x:c r="J49" s="28" t="n">
        <x:f>IF(O44="","",1/O44)</x:f>
        <x:v>0.334370152488211</x:v>
      </x:c>
      <x:c r="K49" s="28" t="n">
        <x:f>IF(O45="","",1/O45)</x:f>
        <x:v>2.059767143958612</x:v>
      </x:c>
      <x:c r="L49" s="28" t="n">
        <x:f>IF(O46="","",1/O46)</x:f>
        <x:v>0.45180100180492244</x:v>
      </x:c>
      <x:c r="M49" s="28" t="n">
        <x:f>IF(O47="","",1/O47)</x:f>
        <x:v>1</x:v>
      </x:c>
      <x:c r="N49" s="28" t="n">
        <x:f>IF(O48="","",1/O48)</x:f>
        <x:v>0.4518010018867034</x:v>
      </x:c>
      <x:c r="O49" s="28">
        <x:v>1.0</x:v>
      </x:c>
      <x:c r="Q49" s="29">
        <x:f t="shared" si="13"/>
        <x:v>0.7210908777</x:v>
      </x:c>
      <x:c r="R49" s="29">
        <x:f t="shared" si="14"/>
        <x:v>0.1024993404</x:v>
      </x:c>
      <x:c r="S49" s="29" t="n">
        <x:f t="shared" si="15">IF(NOT(COUNT($D$44:$G$58)=60),"",J49*$R$44+K49*$R$45+L49*$R$46+M49*$R$47+N49*$R$48+O49*$R$49)</x:f>
        <x:v>0.6161911826502198</x:v>
      </x:c>
      <x:c r="T49" s="29" t="n">
        <x:f t="shared" si="16">IF(R49="","",S49/R49)</x:f>
        <x:v>6.011659979913586</x:v>
      </x:c>
    </x:row>
    <x:row r="50" ht="14.25" customHeight="1">
      <x:c r="A50" s="9">
        <x:v>7.0</x:v>
      </x:c>
      <x:c r="B50" s="9" t="s">
        <x:v>31</x:v>
      </x:c>
      <x:c r="C50" s="9" t="s">
        <x:v>35</x:v>
      </x:c>
      <x:c r="D50" s="25" t="n">
        <x:f>1/2</x:f>
        <x:v>0.5</x:v>
      </x:c>
      <x:c r="E50" s="26" t="n">
        <x:f>1/2</x:f>
        <x:v>0.5</x:v>
      </x:c>
      <x:c r="F50" s="31" t="n">
        <x:f>1/3</x:f>
        <x:v>0.3333333333333333</x:v>
      </x:c>
      <x:c r="G50" s="43">
        <x:v>1.0</x:v>
      </x:c>
    </x:row>
    <x:row r="51" ht="14.25" customHeight="1">
      <x:c r="A51" s="9">
        <x:v>8.0</x:v>
      </x:c>
      <x:c r="B51" s="9" t="s">
        <x:v>31</x:v>
      </x:c>
      <x:c r="C51" s="9" t="s">
        <x:v>36</x:v>
      </x:c>
      <x:c r="D51" s="25" t="n">
        <x:f>1/4</x:f>
        <x:v>0.25</x:v>
      </x:c>
      <x:c r="E51" s="41" t="n">
        <x:f t="shared" ref="E51:E52" si="19">1/3</x:f>
        <x:v>0.3333333333333333</x:v>
      </x:c>
      <x:c r="F51" s="31" t="n">
        <x:f>1/5</x:f>
        <x:v>0.2</x:v>
      </x:c>
      <x:c r="G51" s="41" t="n">
        <x:f>1/3</x:f>
        <x:v>0.3333333333333333</x:v>
      </x:c>
      <x:c r="Q51" s="35" t="s">
        <x:v>143</x:v>
      </x:c>
      <x:c r="R51" s="36" t="n">
        <x:f>IF(NOT(COUNT($D$44:$G$58)=60),"",AVERAGE(T44:T49))</x:f>
        <x:v>6.013775365850349</x:v>
      </x:c>
    </x:row>
    <x:row r="52" ht="14.25" customHeight="1">
      <x:c r="A52" s="9">
        <x:v>9.0</x:v>
      </x:c>
      <x:c r="B52" s="9" t="s">
        <x:v>31</x:v>
      </x:c>
      <x:c r="C52" s="9" t="s">
        <x:v>37</x:v>
      </x:c>
      <x:c r="D52" s="25" t="n">
        <x:f>1/2</x:f>
        <x:v>0.5</x:v>
      </x:c>
      <x:c r="E52" s="41">
        <x:f t="shared" si="19"/>
        <x:v>0.3333333333</x:v>
      </x:c>
      <x:c r="F52" s="31" t="n">
        <x:f>1/3</x:f>
        <x:v>0.3333333333333333</x:v>
      </x:c>
      <x:c r="G52" s="43">
        <x:v>1.0</x:v>
      </x:c>
      <x:c r="Q52" s="37" t="s">
        <x:v>144</x:v>
      </x:c>
      <x:c r="R52" s="38" t="n">
        <x:f>IF(R51="","",(R51-6)/5)</x:f>
        <x:v>0.0027550731700697996</x:v>
      </x:c>
    </x:row>
    <x:row r="53" ht="14.25" customHeight="1">
      <x:c r="A53" s="9">
        <x:v>10.0</x:v>
      </x:c>
      <x:c r="B53" s="9" t="s">
        <x:v>34</x:v>
      </x:c>
      <x:c r="C53" s="9" t="s">
        <x:v>35</x:v>
      </x:c>
      <x:c r="D53" s="25">
        <x:v>2.0</x:v>
      </x:c>
      <x:c r="E53" s="30">
        <x:v>2.0</x:v>
      </x:c>
      <x:c r="F53" s="27">
        <x:v>2.0</x:v>
      </x:c>
      <x:c r="G53" s="43">
        <x:v>3.0</x:v>
      </x:c>
      <x:c r="Q53" s="37" t="s">
        <x:v>145</x:v>
      </x:c>
      <x:c r="R53" s="38">
        <x:v>1.24</x:v>
      </x:c>
    </x:row>
    <x:row r="54" ht="14.25" customHeight="1">
      <x:c r="A54" s="9">
        <x:v>11.0</x:v>
      </x:c>
      <x:c r="B54" s="9" t="s">
        <x:v>34</x:v>
      </x:c>
      <x:c r="C54" s="9" t="s">
        <x:v>36</x:v>
      </x:c>
      <x:c r="D54" s="25">
        <x:v>1.0</x:v>
      </x:c>
      <x:c r="E54" s="30">
        <x:v>1.0</x:v>
      </x:c>
      <x:c r="F54" s="27">
        <x:v>1.0</x:v>
      </x:c>
      <x:c r="G54" s="43">
        <x:v>1.0</x:v>
      </x:c>
      <x:c r="Q54" s="37" t="s">
        <x:v>146</x:v>
      </x:c>
      <x:c r="R54" s="38" t="n">
        <x:f>IF(R52="","",R52/R53)</x:f>
        <x:v>0.0022218332016691934</x:v>
      </x:c>
    </x:row>
    <x:row r="55" ht="14.25" customHeight="1">
      <x:c r="A55" s="9">
        <x:v>12.0</x:v>
      </x:c>
      <x:c r="B55" s="9" t="s">
        <x:v>34</x:v>
      </x:c>
      <x:c r="C55" s="9" t="s">
        <x:v>37</x:v>
      </x:c>
      <x:c r="D55" s="25">
        <x:v>2.0</x:v>
      </x:c>
      <x:c r="E55" s="30">
        <x:v>2.0</x:v>
      </x:c>
      <x:c r="F55" s="27">
        <x:v>2.0</x:v>
      </x:c>
      <x:c r="G55" s="43">
        <x:v>3.0</x:v>
      </x:c>
      <x:c r="Q55" s="39" t="s">
        <x:v>147</x:v>
      </x:c>
      <x:c r="R55" s="40" t="str">
        <x:f>IF(R54="","",IF(R54&lt;=0.1,"OK","Проверить оценки"))</x:f>
        <x:v>OK</x:v>
      </x:c>
    </x:row>
    <x:row r="56" ht="14.25" customHeight="1">
      <x:c r="A56" s="9">
        <x:v>13.0</x:v>
      </x:c>
      <x:c r="B56" s="9" t="s">
        <x:v>35</x:v>
      </x:c>
      <x:c r="C56" s="9" t="s">
        <x:v>36</x:v>
      </x:c>
      <x:c r="D56" s="25" t="n">
        <x:f>1/2</x:f>
        <x:v>0.5</x:v>
      </x:c>
      <x:c r="E56" s="30">
        <x:v>1.0</x:v>
      </x:c>
      <x:c r="F56" s="31" t="n">
        <x:f>1/2</x:f>
        <x:v>0.5</x:v>
      </x:c>
      <x:c r="G56" s="41" t="n">
        <x:f>1/3</x:f>
        <x:v>0.3333333333333333</x:v>
      </x:c>
    </x:row>
    <x:row r="57" ht="14.25" customHeight="1">
      <x:c r="A57" s="9">
        <x:v>14.0</x:v>
      </x:c>
      <x:c r="B57" s="9" t="s">
        <x:v>35</x:v>
      </x:c>
      <x:c r="C57" s="9" t="s">
        <x:v>37</x:v>
      </x:c>
      <x:c r="D57" s="25">
        <x:v>1.0</x:v>
      </x:c>
      <x:c r="E57" s="30">
        <x:v>1.0</x:v>
      </x:c>
      <x:c r="F57" s="27">
        <x:v>1.0</x:v>
      </x:c>
      <x:c r="G57" s="43">
        <x:v>1.0</x:v>
      </x:c>
    </x:row>
    <x:row r="58" ht="14.25" customHeight="1">
      <x:c r="A58" s="9">
        <x:v>15.0</x:v>
      </x:c>
      <x:c r="B58" s="9" t="s">
        <x:v>36</x:v>
      </x:c>
      <x:c r="C58" s="9" t="s">
        <x:v>37</x:v>
      </x:c>
      <x:c r="D58" s="25">
        <x:v>2.0</x:v>
      </x:c>
      <x:c r="E58" s="30">
        <x:v>2.0</x:v>
      </x:c>
      <x:c r="F58" s="27">
        <x:v>2.0</x:v>
      </x:c>
      <x:c r="G58" s="43">
        <x:v>3.0</x:v>
      </x:c>
    </x:row>
    <x:row r="59" ht="14.25" customHeight="1">
      <x:c r="F59" s="12"/>
    </x:row>
    <x:row r="60" ht="14.25" customHeight="1">
      <x:c r="F60" s="12"/>
    </x:row>
    <x:row r="61" ht="14.25" customHeight="1">
      <x:c r="F61" s="12"/>
    </x:row>
    <x:row r="62" ht="14.25" customHeight="1">
      <x:c r="F62" s="12"/>
    </x:row>
    <x:row r="63" ht="14.25" customHeight="1">
      <x:c r="F63" s="12"/>
    </x:row>
    <x:row r="64" ht="14.25" customHeight="1">
      <x:c r="A64" s="5" t="s">
        <x:v>153</x:v>
      </x:c>
      <x:c r="B64" s="6"/>
      <x:c r="C64" s="6"/>
      <x:c r="D64" s="6"/>
      <x:c r="E64" s="6"/>
      <x:c r="F64" s="6"/>
      <x:c r="G64" s="7"/>
      <x:c r="I64" s="5" t="s">
        <x:v>154</x:v>
      </x:c>
      <x:c r="J64" s="6"/>
      <x:c r="K64" s="6"/>
      <x:c r="L64" s="6"/>
      <x:c r="M64" s="6"/>
      <x:c r="N64" s="6"/>
      <x:c r="O64" s="7"/>
    </x:row>
    <x:row r="65" ht="14.25" customHeight="1">
      <x:c r="A65" s="8" t="s">
        <x:v>136</x:v>
      </x:c>
      <x:c r="B65" s="8" t="s">
        <x:v>150</x:v>
      </x:c>
      <x:c r="C65" s="8" t="s">
        <x:v>151</x:v>
      </x:c>
      <x:c r="D65" s="8" t="s">
        <x:v>5</x:v>
      </x:c>
      <x:c r="E65" s="8" t="s">
        <x:v>6</x:v>
      </x:c>
      <x:c r="F65" s="24" t="s">
        <x:v>7</x:v>
      </x:c>
      <x:c r="G65" s="8" t="s">
        <x:v>8</x:v>
      </x:c>
      <x:c r="I65" s="8"/>
      <x:c r="J65" s="8" t="s">
        <x:v>29</x:v>
      </x:c>
      <x:c r="K65" s="8" t="s">
        <x:v>31</x:v>
      </x:c>
      <x:c r="L65" s="8" t="s">
        <x:v>34</x:v>
      </x:c>
      <x:c r="M65" s="8" t="s">
        <x:v>35</x:v>
      </x:c>
      <x:c r="N65" s="8" t="s">
        <x:v>36</x:v>
      </x:c>
      <x:c r="O65" s="8" t="s">
        <x:v>37</x:v>
      </x:c>
      <x:c r="Q65" s="8" t="s">
        <x:v>139</x:v>
      </x:c>
      <x:c r="R65" s="8" t="s">
        <x:v>152</x:v>
      </x:c>
      <x:c r="S65" s="8" t="s">
        <x:v>141</x:v>
      </x:c>
      <x:c r="T65" s="8" t="s">
        <x:v>142</x:v>
      </x:c>
    </x:row>
    <x:row r="66" ht="14.25" customHeight="1">
      <x:c r="A66" s="9">
        <x:v>1.0</x:v>
      </x:c>
      <x:c r="B66" s="9" t="s">
        <x:v>29</x:v>
      </x:c>
      <x:c r="C66" s="9" t="s">
        <x:v>31</x:v>
      </x:c>
      <x:c r="D66" s="25">
        <x:v>2.0</x:v>
      </x:c>
      <x:c r="E66" s="30">
        <x:v>1.0</x:v>
      </x:c>
      <x:c r="F66" s="27">
        <x:v>2.0</x:v>
      </x:c>
      <x:c r="G66" s="30">
        <x:v>1.0</x:v>
      </x:c>
      <x:c r="I66" s="8" t="s">
        <x:v>29</x:v>
      </x:c>
      <x:c r="J66" s="28">
        <x:v>1.0</x:v>
      </x:c>
      <x:c r="K66" s="28" t="n">
        <x:f>IF(COUNT(D66:G66)&lt;4,"",POWER(PRODUCT(D66:G66),1/4))</x:f>
        <x:v>1.4142135623730951</x:v>
      </x:c>
      <x:c r="L66" s="28" t="n">
        <x:f>IF(COUNT(D67:G67)&lt;4,"",POWER(PRODUCT(D67:G67),1/4))</x:f>
        <x:v>0.9554427922043668</x:v>
      </x:c>
      <x:c r="M66" s="28" t="n">
        <x:f>IF(COUNT(D68:G68)&lt;4,"",POWER(PRODUCT(D68:G68),1/4))</x:f>
        <x:v>1.057371263440564</x:v>
      </x:c>
      <x:c r="N66" s="28" t="n">
        <x:f>IF(COUNT(D69:G69)&lt;4,"",POWER(PRODUCT(D69:G69),1/4))</x:f>
        <x:v>0.8034284189446517</x:v>
      </x:c>
      <x:c r="O66" s="28" t="n">
        <x:f>IF(COUNT(D70:G70)&lt;4,"",POWER(PRODUCT(D70:G70),1/4))</x:f>
        <x:v>2.114742526881128</x:v>
      </x:c>
      <x:c r="Q66" s="29" t="n">
        <x:f t="shared" ref="Q66:Q71" si="20">IF(NOT(COUNT($D$66:$G$80)=60),"",POWER(PRODUCT(J66:O66),1/6))</x:f>
        <x:v>1.1592897063881247</x:v>
      </x:c>
      <x:c r="R66" s="29" t="n">
        <x:f t="shared" ref="R66:R71" si="21">IF(NOT(COUNT($D$66:$G$80)=60),"",Q66/SUM($Q$66:$Q$71))</x:f>
        <x:v>0.18539932161218564</x:v>
      </x:c>
      <x:c r="S66" s="29" t="n">
        <x:f t="shared" ref="S66:S71" si="22">IF(NOT(COUNT($D$66:$G$80)=60),"",J66*$R$66+K66*$R$67+L66*$R$68+M66*$R$69+N66*$R$70+O66*$R$71)</x:f>
        <x:v>1.1126090485183888</x:v>
      </x:c>
      <x:c r="T66" s="29" t="n">
        <x:f t="shared" ref="T66:T71" si="23">IF(R66="","",S66/R66)</x:f>
        <x:v>6.00114951254094</x:v>
      </x:c>
    </x:row>
    <x:row r="67" ht="14.25" customHeight="1">
      <x:c r="A67" s="9">
        <x:v>2.0</x:v>
      </x:c>
      <x:c r="B67" s="9" t="s">
        <x:v>29</x:v>
      </x:c>
      <x:c r="C67" s="9" t="s">
        <x:v>34</x:v>
      </x:c>
      <x:c r="D67" s="25" t="n">
        <x:f t="shared" ref="D67:D69" si="24">1/2</x:f>
        <x:v>0.5</x:v>
      </x:c>
      <x:c r="E67" s="30">
        <x:v>5.0</x:v>
      </x:c>
      <x:c r="F67" s="27">
        <x:v>1.0</x:v>
      </x:c>
      <x:c r="G67" s="45" t="n">
        <x:f>1/3</x:f>
        <x:v>0.3333333333333333</x:v>
      </x:c>
      <x:c r="I67" s="8" t="s">
        <x:v>31</x:v>
      </x:c>
      <x:c r="J67" s="28" t="n">
        <x:f>IF(K66="","",1/K66)</x:f>
        <x:v>0.7071067811865475</x:v>
      </x:c>
      <x:c r="K67" s="28">
        <x:v>1.0</x:v>
      </x:c>
      <x:c r="L67" s="28" t="n">
        <x:f>IF(COUNT(D71:G71)&lt;4,"",POWER(PRODUCT(D71:G71),1/4))</x:f>
        <x:v>0.6756000774035171</x:v>
      </x:c>
      <x:c r="M67" s="28" t="n">
        <x:f>IF(COUNT(D72:G72)&lt;4,"",POWER(PRODUCT(D72:G72),1/4))</x:f>
        <x:v>0.8034284189446517</x:v>
      </x:c>
      <x:c r="N67" s="28" t="n">
        <x:f>IF(COUNT(D73:G73)&lt;4,"",POWER(PRODUCT(D73:G73),1/4))</x:f>
        <x:v>0.6104735835655225</x:v>
      </x:c>
      <x:c r="O67" s="28" t="n">
        <x:f>IF(COUNT(D74:G74)&lt;4,"",POWER(PRODUCT(D74:G74),1/4))</x:f>
        <x:v>1.4953487812212205</x:v>
      </x:c>
      <x:c r="Q67" s="29">
        <x:f t="shared" si="20"/>
        <x:v>0.8396311517</x:v>
      </x:c>
      <x:c r="R67" s="29">
        <x:f t="shared" si="21"/>
        <x:v>0.1342779506</x:v>
      </x:c>
      <x:c r="S67" s="29" t="n">
        <x:f t="shared" si="22">IF(NOT(COUNT($D$66:$G$80)=60),"",J67*$R$66+K67*$R$67+L67*$R$68+M67*$R$69+N67*$R$70+O67*$R$71)</x:f>
        <x:v>0.8058220577647708</x:v>
      </x:c>
      <x:c r="T67" s="29" t="n">
        <x:f t="shared" si="23">IF(R67="","",S67/R67)</x:f>
        <x:v>6.001149512366558</x:v>
      </x:c>
    </x:row>
    <x:row r="68" ht="14.25" customHeight="1">
      <x:c r="A68" s="9">
        <x:v>3.0</x:v>
      </x:c>
      <x:c r="B68" s="9" t="s">
        <x:v>29</x:v>
      </x:c>
      <x:c r="C68" s="9" t="s">
        <x:v>35</x:v>
      </x:c>
      <x:c r="D68" s="25">
        <x:f t="shared" si="24"/>
        <x:v>0.5</x:v>
      </x:c>
      <x:c r="E68" s="30">
        <x:v>5.0</x:v>
      </x:c>
      <x:c r="F68" s="31" t="n">
        <x:f t="shared" ref="F68:F69" si="25">1/2</x:f>
        <x:v>0.5</x:v>
      </x:c>
      <x:c r="G68" s="30">
        <x:v>1.0</x:v>
      </x:c>
      <x:c r="I68" s="8" t="s">
        <x:v>34</x:v>
      </x:c>
      <x:c r="J68" s="28" t="n">
        <x:f>IF(L66="","",1/L66)</x:f>
        <x:v>1.0466351393921056</x:v>
      </x:c>
      <x:c r="K68" s="28" t="n">
        <x:f>IF(L67="","",1/L67)</x:f>
        <x:v>1.4801656089845707</x:v>
      </x:c>
      <x:c r="L68" s="28">
        <x:v>1.0</x:v>
      </x:c>
      <x:c r="M68" s="28" t="n">
        <x:f>IF(COUNT(D75:G75)&lt;4,"",POWER(PRODUCT(D75:G75),1/4))</x:f>
        <x:v>1.1066819197003215</x:v>
      </x:c>
      <x:c r="N68" s="28" t="n">
        <x:f>IF(COUNT(D76:G76)&lt;4,"",POWER(PRODUCT(D76:G76),1/4))</x:f>
        <x:v>0.7071067811865476</x:v>
      </x:c>
      <x:c r="O68" s="28" t="n">
        <x:f>IF(COUNT(D77:G77)&lt;4,"",POWER(PRODUCT(D77:G77),1/4))</x:f>
        <x:v>2.6321480259049848</x:v>
      </x:c>
      <x:c r="Q68" s="29">
        <x:f t="shared" si="20"/>
        <x:v>1.213353343</x:v>
      </x:c>
      <x:c r="R68" s="29">
        <x:f t="shared" si="21"/>
        <x:v>0.1940454448</x:v>
      </x:c>
      <x:c r="S68" s="29" t="n">
        <x:f t="shared" si="22">IF(NOT(COUNT($D$66:$G$80)=60),"",J68*$R$66+K68*$R$67+L68*$R$68+M68*$R$69+N68*$R$70+O68*$R$71)</x:f>
        <x:v>1.1719593372582224</x:v>
      </x:c>
      <x:c r="T68" s="29" t="n">
        <x:f t="shared" si="23">IF(R68="","",S68/R68)</x:f>
        <x:v>6.039612723020348</x:v>
      </x:c>
    </x:row>
    <x:row r="69" ht="14.25" customHeight="1">
      <x:c r="A69" s="9">
        <x:v>4.0</x:v>
      </x:c>
      <x:c r="B69" s="9" t="s">
        <x:v>29</x:v>
      </x:c>
      <x:c r="C69" s="9" t="s">
        <x:v>36</x:v>
      </x:c>
      <x:c r="D69" s="25">
        <x:f t="shared" si="24"/>
        <x:v>0.5</x:v>
      </x:c>
      <x:c r="E69" s="30">
        <x:v>5.0</x:v>
      </x:c>
      <x:c r="F69" s="31">
        <x:f t="shared" si="25"/>
        <x:v>0.5</x:v>
      </x:c>
      <x:c r="G69" s="45" t="n">
        <x:f>1/3</x:f>
        <x:v>0.3333333333333333</x:v>
      </x:c>
      <x:c r="I69" s="8" t="s">
        <x:v>35</x:v>
      </x:c>
      <x:c r="J69" s="28" t="n">
        <x:f>IF(M66="","",1/M66)</x:f>
        <x:v>0.9457416090031758</x:v>
      </x:c>
      <x:c r="K69" s="28" t="n">
        <x:f>IF(M67="","",1/M67)</x:f>
        <x:v>1.2446659545769567</x:v>
      </x:c>
      <x:c r="L69" s="28" t="n">
        <x:f>IF(M68="","",1/M68)</x:f>
        <x:v>0.9036020036098449</x:v>
      </x:c>
      <x:c r="M69" s="28">
        <x:v>1.0</x:v>
      </x:c>
      <x:c r="N69" s="28" t="n">
        <x:f>IF(COUNT(D78:G78)&lt;4,"",POWER(PRODUCT(D78:G78),1/4))</x:f>
        <x:v>0.7598356856515925</x:v>
      </x:c>
      <x:c r="O69" s="28" t="n">
        <x:f t="shared" ref="O69:O70" si="26">IF(COUNT(D79:G79)&lt;4,"",POWER(PRODUCT(D79:G79),1/4))</x:f>
        <x:v>1.8612097182041991</x:v>
      </x:c>
      <x:c r="Q69" s="29">
        <x:f t="shared" si="20"/>
        <x:v>1.070416796</x:v>
      </x:c>
      <x:c r="R69" s="29">
        <x:f t="shared" si="21"/>
        <x:v>0.1711863279</x:v>
      </x:c>
      <x:c r="S69" s="29" t="n">
        <x:f t="shared" si="22">IF(NOT(COUNT($D$66:$G$80)=60),"",J69*$R$66+K69*$R$67+L69*$R$68+M69*$R$69+N69*$R$70+O69*$R$71)</x:f>
        <x:v>1.027314748320435</x:v>
      </x:c>
      <x:c r="T69" s="29" t="n">
        <x:f t="shared" si="23">IF(R69="","",S69/R69)</x:f>
        <x:v>6.001149513064793</x:v>
      </x:c>
    </x:row>
    <x:row r="70" ht="14.25" customHeight="1">
      <x:c r="A70" s="9">
        <x:v>5.0</x:v>
      </x:c>
      <x:c r="B70" s="9" t="s">
        <x:v>29</x:v>
      </x:c>
      <x:c r="C70" s="9" t="s">
        <x:v>37</x:v>
      </x:c>
      <x:c r="D70" s="25">
        <x:v>2.0</x:v>
      </x:c>
      <x:c r="E70" s="30">
        <x:v>5.0</x:v>
      </x:c>
      <x:c r="F70" s="27">
        <x:v>2.0</x:v>
      </x:c>
      <x:c r="G70" s="30">
        <x:v>1.0</x:v>
      </x:c>
      <x:c r="I70" s="8" t="s">
        <x:v>36</x:v>
      </x:c>
      <x:c r="J70" s="28" t="n">
        <x:f>IF(N66="","",1/N66)</x:f>
        <x:v>1.2446659545769567</x:v>
      </x:c>
      <x:c r="K70" s="28" t="n">
        <x:f>IF(N67="","",1/N67)</x:f>
        <x:v>1.638072517666392</x:v>
      </x:c>
      <x:c r="L70" s="28" t="n">
        <x:f>IF(N68="","",1/N68)</x:f>
        <x:v>1.414213562373095</x:v>
      </x:c>
      <x:c r="M70" s="28" t="n">
        <x:f>IF(N69="","",1/N69)</x:f>
        <x:v>1.3160740129524924</x:v>
      </x:c>
      <x:c r="N70" s="28">
        <x:v>1.0</x:v>
      </x:c>
      <x:c r="O70" s="28">
        <x:f t="shared" si="26"/>
        <x:v>2.059767144</x:v>
      </x:c>
      <x:c r="Q70" s="29">
        <x:f t="shared" si="20"/>
        <x:v>1.408747728</x:v>
      </x:c>
      <x:c r="R70" s="29">
        <x:f t="shared" si="21"/>
        <x:v>0.2252938775</x:v>
      </x:c>
      <x:c r="S70" s="29" t="n">
        <x:f t="shared" si="22">IF(NOT(COUNT($D$66:$G$80)=60),"",J70*$R$66+K70*$R$67+L70*$R$68+M70*$R$69+N70*$R$70+O70*$R$71)</x:f>
        <x:v>1.3606877691025043</x:v>
      </x:c>
      <x:c r="T70" s="29" t="n">
        <x:f t="shared" si="23">IF(R70="","",S70/R70)</x:f>
        <x:v>6.039612723619196</x:v>
      </x:c>
    </x:row>
    <x:row r="71" ht="14.25" customHeight="1">
      <x:c r="A71" s="9">
        <x:v>6.0</x:v>
      </x:c>
      <x:c r="B71" s="9" t="s">
        <x:v>31</x:v>
      </x:c>
      <x:c r="C71" s="9" t="s">
        <x:v>34</x:v>
      </x:c>
      <x:c r="D71" s="25" t="n">
        <x:f t="shared" ref="D71:D73" si="27">1/4</x:f>
        <x:v>0.25</x:v>
      </x:c>
      <x:c r="E71" s="30">
        <x:v>5.0</x:v>
      </x:c>
      <x:c r="F71" s="31" t="n">
        <x:f>1/2</x:f>
        <x:v>0.5</x:v>
      </x:c>
      <x:c r="G71" s="45" t="n">
        <x:f>1/3</x:f>
        <x:v>0.3333333333333333</x:v>
      </x:c>
      <x:c r="I71" s="8" t="s">
        <x:v>37</x:v>
      </x:c>
      <x:c r="J71" s="28" t="n">
        <x:f>IF(O66="","",1/O66)</x:f>
        <x:v>0.4728708045015879</x:v>
      </x:c>
      <x:c r="K71" s="28" t="n">
        <x:f>IF(O67="","",1/O67)</x:f>
        <x:v>0.668740304976422</x:v>
      </x:c>
      <x:c r="L71" s="28" t="n">
        <x:f>IF(O68="","",1/O68)</x:f>
        <x:v>0.37991784282579627</x:v>
      </x:c>
      <x:c r="M71" s="28" t="n">
        <x:f>IF(O69="","",1/O69)</x:f>
        <x:v>0.537284965911771</x:v>
      </x:c>
      <x:c r="N71" s="28" t="n">
        <x:f>IF(O70="","",1/O70)</x:f>
        <x:v>0.4854917716854309</x:v>
      </x:c>
      <x:c r="O71" s="28">
        <x:v>1.0</x:v>
      </x:c>
      <x:c r="Q71" s="29">
        <x:f t="shared" si="20"/>
        <x:v>0.5614951924</x:v>
      </x:c>
      <x:c r="R71" s="29">
        <x:f t="shared" si="21"/>
        <x:v>0.08979707762</x:v>
      </x:c>
      <x:c r="S71" s="29" t="n">
        <x:f t="shared" si="22">IF(NOT(COUNT($D$66:$G$80)=60),"",J71*$R$66+K71*$R$67+L71*$R$68+M71*$R$69+N71*$R$70+O71*$R$71)</x:f>
        <x:v>0.5423395725069121</x:v>
      </x:c>
      <x:c r="T71" s="29" t="n">
        <x:f t="shared" si="23">IF(R71="","",S71/R71)</x:f>
        <x:v>6.039612723277755</x:v>
      </x:c>
    </x:row>
    <x:row r="72" ht="14.25" customHeight="1">
      <x:c r="A72" s="9">
        <x:v>7.0</x:v>
      </x:c>
      <x:c r="B72" s="9" t="s">
        <x:v>31</x:v>
      </x:c>
      <x:c r="C72" s="9" t="s">
        <x:v>35</x:v>
      </x:c>
      <x:c r="D72" s="25">
        <x:f t="shared" si="27"/>
        <x:v>0.25</x:v>
      </x:c>
      <x:c r="E72" s="30">
        <x:v>5.0</x:v>
      </x:c>
      <x:c r="F72" s="31" t="n">
        <x:f t="shared" ref="F72:F73" si="28">1/3</x:f>
        <x:v>0.3333333333333333</x:v>
      </x:c>
      <x:c r="G72" s="30">
        <x:v>1.0</x:v>
      </x:c>
    </x:row>
    <x:row r="73" ht="14.25" customHeight="1">
      <x:c r="A73" s="9">
        <x:v>8.0</x:v>
      </x:c>
      <x:c r="B73" s="9" t="s">
        <x:v>31</x:v>
      </x:c>
      <x:c r="C73" s="9" t="s">
        <x:v>36</x:v>
      </x:c>
      <x:c r="D73" s="25">
        <x:f t="shared" si="27"/>
        <x:v>0.25</x:v>
      </x:c>
      <x:c r="E73" s="30">
        <x:v>5.0</x:v>
      </x:c>
      <x:c r="F73" s="31">
        <x:f t="shared" si="28"/>
        <x:v>0.3333333333</x:v>
      </x:c>
      <x:c r="G73" s="45" t="n">
        <x:f>1/3</x:f>
        <x:v>0.3333333333333333</x:v>
      </x:c>
      <x:c r="Q73" s="35" t="s">
        <x:v>143</x:v>
      </x:c>
      <x:c r="R73" s="36" t="n">
        <x:f>IF(NOT(COUNT($D$66:$G$80)=60),"",AVERAGE(T66:T71))</x:f>
        <x:v>6.020381117981597</x:v>
      </x:c>
    </x:row>
    <x:row r="74" ht="14.25" customHeight="1">
      <x:c r="A74" s="9">
        <x:v>9.0</x:v>
      </x:c>
      <x:c r="B74" s="9" t="s">
        <x:v>31</x:v>
      </x:c>
      <x:c r="C74" s="9" t="s">
        <x:v>37</x:v>
      </x:c>
      <x:c r="D74" s="25">
        <x:v>1.0</x:v>
      </x:c>
      <x:c r="E74" s="30">
        <x:v>5.0</x:v>
      </x:c>
      <x:c r="F74" s="27">
        <x:v>1.0</x:v>
      </x:c>
      <x:c r="G74" s="30">
        <x:v>1.0</x:v>
      </x:c>
      <x:c r="Q74" s="37" t="s">
        <x:v>144</x:v>
      </x:c>
      <x:c r="R74" s="38" t="n">
        <x:f>IF(R73="","",(R73-6)/5)</x:f>
        <x:v>0.0040762235963194724</x:v>
      </x:c>
    </x:row>
    <x:row r="75" ht="14.25" customHeight="1">
      <x:c r="A75" s="9">
        <x:v>10.0</x:v>
      </x:c>
      <x:c r="B75" s="9" t="s">
        <x:v>34</x:v>
      </x:c>
      <x:c r="C75" s="9" t="s">
        <x:v>35</x:v>
      </x:c>
      <x:c r="D75" s="25">
        <x:v>1.0</x:v>
      </x:c>
      <x:c r="E75" s="30">
        <x:v>1.0</x:v>
      </x:c>
      <x:c r="F75" s="31" t="n">
        <x:f>1/2</x:f>
        <x:v>0.5</x:v>
      </x:c>
      <x:c r="G75" s="30">
        <x:v>3.0</x:v>
      </x:c>
      <x:c r="Q75" s="37" t="s">
        <x:v>145</x:v>
      </x:c>
      <x:c r="R75" s="38">
        <x:v>1.24</x:v>
      </x:c>
    </x:row>
    <x:row r="76" ht="14.25" customHeight="1">
      <x:c r="A76" s="9">
        <x:v>11.0</x:v>
      </x:c>
      <x:c r="B76" s="9" t="s">
        <x:v>34</x:v>
      </x:c>
      <x:c r="C76" s="9" t="s">
        <x:v>36</x:v>
      </x:c>
      <x:c r="D76" s="25">
        <x:v>1.0</x:v>
      </x:c>
      <x:c r="E76" s="31" t="n">
        <x:f t="shared" ref="E76:F76" si="29">1/2</x:f>
        <x:v>0.5</x:v>
      </x:c>
      <x:c r="F76" s="31">
        <x:f t="shared" si="29"/>
        <x:v>0.5</x:v>
      </x:c>
      <x:c r="G76" s="30">
        <x:v>1.0</x:v>
      </x:c>
      <x:c r="Q76" s="37" t="s">
        <x:v>146</x:v>
      </x:c>
      <x:c r="R76" s="38" t="n">
        <x:f>IF(R74="","",R74/R75)</x:f>
        <x:v>0.0032872770938060262</x:v>
      </x:c>
    </x:row>
    <x:row r="77" ht="14.25" customHeight="1">
      <x:c r="A77" s="9">
        <x:v>12.0</x:v>
      </x:c>
      <x:c r="B77" s="9" t="s">
        <x:v>34</x:v>
      </x:c>
      <x:c r="C77" s="9" t="s">
        <x:v>37</x:v>
      </x:c>
      <x:c r="D77" s="25">
        <x:v>4.0</x:v>
      </x:c>
      <x:c r="E77" s="30">
        <x:v>2.0</x:v>
      </x:c>
      <x:c r="F77" s="27">
        <x:v>2.0</x:v>
      </x:c>
      <x:c r="G77" s="30">
        <x:v>3.0</x:v>
      </x:c>
      <x:c r="Q77" s="39" t="s">
        <x:v>147</x:v>
      </x:c>
      <x:c r="R77" s="40" t="str">
        <x:f>IF(R76="","",IF(R76&lt;=0.1,"OK","Проверить оценки"))</x:f>
        <x:v>OK</x:v>
      </x:c>
    </x:row>
    <x:row r="78" ht="14.25" customHeight="1">
      <x:c r="A78" s="9">
        <x:v>13.0</x:v>
      </x:c>
      <x:c r="B78" s="9" t="s">
        <x:v>35</x:v>
      </x:c>
      <x:c r="C78" s="9" t="s">
        <x:v>36</x:v>
      </x:c>
      <x:c r="D78" s="25">
        <x:v>1.0</x:v>
      </x:c>
      <x:c r="E78" s="30">
        <x:v>1.0</x:v>
      </x:c>
      <x:c r="F78" s="27">
        <x:v>1.0</x:v>
      </x:c>
      <x:c r="G78" s="45" t="n">
        <x:f>1/3</x:f>
        <x:v>0.3333333333333333</x:v>
      </x:c>
    </x:row>
    <x:row r="79" ht="14.25" customHeight="1">
      <x:c r="A79" s="9">
        <x:v>14.0</x:v>
      </x:c>
      <x:c r="B79" s="9" t="s">
        <x:v>35</x:v>
      </x:c>
      <x:c r="C79" s="9" t="s">
        <x:v>37</x:v>
      </x:c>
      <x:c r="D79" s="25">
        <x:v>4.0</x:v>
      </x:c>
      <x:c r="E79" s="30">
        <x:v>1.0</x:v>
      </x:c>
      <x:c r="F79" s="27">
        <x:v>3.0</x:v>
      </x:c>
      <x:c r="G79" s="30">
        <x:v>1.0</x:v>
      </x:c>
    </x:row>
    <x:row r="80" ht="14.25" customHeight="1">
      <x:c r="A80" s="9">
        <x:v>15.0</x:v>
      </x:c>
      <x:c r="B80" s="9" t="s">
        <x:v>36</x:v>
      </x:c>
      <x:c r="C80" s="9" t="s">
        <x:v>37</x:v>
      </x:c>
      <x:c r="D80" s="25">
        <x:v>4.0</x:v>
      </x:c>
      <x:c r="E80" s="31" t="n">
        <x:f>1/2</x:f>
        <x:v>0.5</x:v>
      </x:c>
      <x:c r="F80" s="27">
        <x:v>3.0</x:v>
      </x:c>
      <x:c r="G80" s="30">
        <x:v>3.0</x:v>
      </x:c>
    </x:row>
    <x:row r="81" ht="14.25" customHeight="1">
      <x:c r="F81" s="12"/>
    </x:row>
    <x:row r="82" ht="14.25" customHeight="1">
      <x:c r="F82" s="12"/>
    </x:row>
    <x:row r="83" ht="14.25" customHeight="1">
      <x:c r="F83" s="12"/>
    </x:row>
    <x:row r="84" ht="14.25" customHeight="1">
      <x:c r="F84" s="12"/>
    </x:row>
    <x:row r="85" ht="14.25" customHeight="1">
      <x:c r="F85" s="12"/>
    </x:row>
    <x:row r="86" ht="14.25" customHeight="1">
      <x:c r="A86" s="5" t="s">
        <x:v>155</x:v>
      </x:c>
      <x:c r="B86" s="6"/>
      <x:c r="C86" s="6"/>
      <x:c r="D86" s="6"/>
      <x:c r="E86" s="6"/>
      <x:c r="F86" s="6"/>
      <x:c r="G86" s="7"/>
      <x:c r="I86" s="5" t="s">
        <x:v>156</x:v>
      </x:c>
      <x:c r="J86" s="6"/>
      <x:c r="K86" s="6"/>
      <x:c r="L86" s="6"/>
      <x:c r="M86" s="6"/>
      <x:c r="N86" s="6"/>
      <x:c r="O86" s="7"/>
    </x:row>
    <x:row r="87" ht="14.25" customHeight="1">
      <x:c r="A87" s="8" t="s">
        <x:v>136</x:v>
      </x:c>
      <x:c r="B87" s="8" t="s">
        <x:v>150</x:v>
      </x:c>
      <x:c r="C87" s="8" t="s">
        <x:v>151</x:v>
      </x:c>
      <x:c r="D87" s="8" t="s">
        <x:v>5</x:v>
      </x:c>
      <x:c r="E87" s="8" t="s">
        <x:v>6</x:v>
      </x:c>
      <x:c r="F87" s="24" t="s">
        <x:v>7</x:v>
      </x:c>
      <x:c r="G87" s="8" t="s">
        <x:v>8</x:v>
      </x:c>
      <x:c r="I87" s="8"/>
      <x:c r="J87" s="8" t="s">
        <x:v>29</x:v>
      </x:c>
      <x:c r="K87" s="8" t="s">
        <x:v>31</x:v>
      </x:c>
      <x:c r="L87" s="8" t="s">
        <x:v>34</x:v>
      </x:c>
      <x:c r="M87" s="8" t="s">
        <x:v>35</x:v>
      </x:c>
      <x:c r="N87" s="8" t="s">
        <x:v>36</x:v>
      </x:c>
      <x:c r="O87" s="8" t="s">
        <x:v>37</x:v>
      </x:c>
      <x:c r="Q87" s="8" t="s">
        <x:v>139</x:v>
      </x:c>
      <x:c r="R87" s="8" t="s">
        <x:v>152</x:v>
      </x:c>
      <x:c r="S87" s="8" t="s">
        <x:v>141</x:v>
      </x:c>
      <x:c r="T87" s="8" t="s">
        <x:v>142</x:v>
      </x:c>
    </x:row>
    <x:row r="88" ht="14.25" customHeight="1">
      <x:c r="A88" s="9">
        <x:v>1.0</x:v>
      </x:c>
      <x:c r="B88" s="9" t="s">
        <x:v>29</x:v>
      </x:c>
      <x:c r="C88" s="9" t="s">
        <x:v>31</x:v>
      </x:c>
      <x:c r="D88" s="25">
        <x:v>8.0</x:v>
      </x:c>
      <x:c r="E88" s="30">
        <x:v>4.0</x:v>
      </x:c>
      <x:c r="F88" s="27">
        <x:v>5.0</x:v>
      </x:c>
      <x:c r="G88" s="30">
        <x:v>3.0</x:v>
      </x:c>
      <x:c r="I88" s="8" t="s">
        <x:v>29</x:v>
      </x:c>
      <x:c r="J88" s="28">
        <x:v>1.0</x:v>
      </x:c>
      <x:c r="K88" s="28" t="n">
        <x:f>IF(COUNT(D88:G88)&lt;4,"",POWER(PRODUCT(D88:G88),1/4))</x:f>
        <x:v>4.680694638641432</x:v>
      </x:c>
      <x:c r="L88" s="28" t="n">
        <x:f>IF(COUNT(D89:G89)&lt;4,"",POWER(PRODUCT(D89:G89),1/4))</x:f>
        <x:v>1.681792830507429</x:v>
      </x:c>
      <x:c r="M88" s="28" t="n">
        <x:f>IF(COUNT(D90:G90)&lt;4,"",POWER(PRODUCT(D90:G90),1/4))</x:f>
        <x:v>1.5650845800732873</x:v>
      </x:c>
      <x:c r="N88" s="28" t="n">
        <x:f>IF(COUNT(D91:G91)&lt;4,"",POWER(PRODUCT(D91:G91),1/4))</x:f>
        <x:v>1.5650845800732873</x:v>
      </x:c>
      <x:c r="O88" s="28" t="n">
        <x:f>IF(COUNT(D92:G92)&lt;4,"",POWER(PRODUCT(D92:G92),1/4))</x:f>
        <x:v>2.9129506302439405</x:v>
      </x:c>
      <x:c r="Q88" s="29" t="n">
        <x:f t="shared" ref="Q88:Q93" si="30">IF(NOT(COUNT($D$88:$G$102)=60),"",POWER(PRODUCT(J88:O88),1/6))</x:f>
        <x:v>1.9569598966796866</x:v>
      </x:c>
      <x:c r="R88" s="29" t="n">
        <x:f t="shared" ref="R88:R93" si="31">IF(NOT(COUNT($D$88:$G$102)=60),"",Q88/SUM($Q$88:$Q$93))</x:f>
        <x:v>0.2839874673540493</x:v>
      </x:c>
      <x:c r="S88" s="29" t="n">
        <x:f t="shared" ref="S88:S93" si="32">IF(NOT(COUNT($D$88:$G$102)=60),"",J88*$R$88+K88*$R$89+L88*$R$90+M88*$R$91+N88*$R$92+O88*$R$93)</x:f>
        <x:v>1.71040267077349</x:v>
      </x:c>
      <x:c r="T88" s="29" t="n">
        <x:f t="shared" ref="T88:T93" si="33">IF(R88="","",S88/R88)</x:f>
        <x:v>6.0228103962106125</x:v>
      </x:c>
    </x:row>
    <x:row r="89" ht="14.25" customHeight="1">
      <x:c r="A89" s="9">
        <x:v>2.0</x:v>
      </x:c>
      <x:c r="B89" s="9" t="s">
        <x:v>29</x:v>
      </x:c>
      <x:c r="C89" s="9" t="s">
        <x:v>34</x:v>
      </x:c>
      <x:c r="D89" s="25">
        <x:v>2.0</x:v>
      </x:c>
      <x:c r="E89" s="30">
        <x:v>2.0</x:v>
      </x:c>
      <x:c r="F89" s="27">
        <x:v>2.0</x:v>
      </x:c>
      <x:c r="G89" s="30">
        <x:v>1.0</x:v>
      </x:c>
      <x:c r="I89" s="8" t="s">
        <x:v>31</x:v>
      </x:c>
      <x:c r="J89" s="28" t="n">
        <x:f>IF(K88="","",1/K88)</x:f>
        <x:v>0.21364350319811704</x:v>
      </x:c>
      <x:c r="K89" s="28">
        <x:v>1.0</x:v>
      </x:c>
      <x:c r="L89" s="28" t="n">
        <x:f>IF(COUNT(D93:G93)&lt;4,"",POWER(PRODUCT(D93:G93),1/4))</x:f>
        <x:v>0.27301208626408136</x:v>
      </x:c>
      <x:c r="M89" s="28" t="n">
        <x:f>IF(COUNT(D94:G94)&lt;4,"",POWER(PRODUCT(D94:G94),1/4))</x:f>
        <x:v>0.23643540225079396</x:v>
      </x:c>
      <x:c r="N89" s="28" t="n">
        <x:f>IF(COUNT(D95:G95)&lt;4,"",POWER(PRODUCT(D95:G95),1/4))</x:f>
        <x:v>0.23643540225079396</x:v>
      </x:c>
      <x:c r="O89" s="28" t="n">
        <x:f>IF(COUNT(D96:G96)&lt;4,"",POWER(PRODUCT(D96:G96),1/4))</x:f>
        <x:v>0.7071067811865476</x:v>
      </x:c>
      <x:c r="Q89" s="29">
        <x:f t="shared" si="30"/>
        <x:v>0.3634658366</x:v>
      </x:c>
      <x:c r="R89" s="29">
        <x:f t="shared" si="31"/>
        <x:v>0.05274494514</x:v>
      </x:c>
      <x:c r="S89" s="29" t="n">
        <x:f t="shared" si="32">IF(NOT(COUNT($D$88:$G$102)=60),"",J89*$R$88+K89*$R$89+L89*$R$90+M89*$R$91+N89*$R$92+O89*$R$93)</x:f>
        <x:v>0.3188659867279573</x:v>
      </x:c>
      <x:c r="T89" s="29" t="n">
        <x:f t="shared" si="33">IF(R89="","",S89/R89)</x:f>
        <x:v>6.045432142958853</x:v>
      </x:c>
    </x:row>
    <x:row r="90" ht="14.25" customHeight="1">
      <x:c r="A90" s="9">
        <x:v>3.0</x:v>
      </x:c>
      <x:c r="B90" s="9" t="s">
        <x:v>29</x:v>
      </x:c>
      <x:c r="C90" s="9" t="s">
        <x:v>35</x:v>
      </x:c>
      <x:c r="D90" s="25">
        <x:v>1.0</x:v>
      </x:c>
      <x:c r="E90" s="30">
        <x:v>2.0</x:v>
      </x:c>
      <x:c r="F90" s="27">
        <x:v>1.0</x:v>
      </x:c>
      <x:c r="G90" s="30">
        <x:v>3.0</x:v>
      </x:c>
      <x:c r="I90" s="8" t="s">
        <x:v>34</x:v>
      </x:c>
      <x:c r="J90" s="28" t="n">
        <x:f>IF(L88="","",1/L88)</x:f>
        <x:v>0.5946035575013605</x:v>
      </x:c>
      <x:c r="K90" s="28" t="n">
        <x:f>IF(L89="","",1/L89)</x:f>
        <x:v>3.6628415015762776</x:v>
      </x:c>
      <x:c r="L90" s="28">
        <x:v>1.0</x:v>
      </x:c>
      <x:c r="M90" s="28" t="n">
        <x:f>IF(COUNT(D97:G97)&lt;4,"",POWER(PRODUCT(D97:G97),1/4))</x:f>
        <x:v>0.9306048591020996</x:v>
      </x:c>
      <x:c r="N90" s="28" t="n">
        <x:f>IF(COUNT(D98:G98)&lt;4,"",POWER(PRODUCT(D98:G98),1/4))</x:f>
        <x:v>0.9306048591020996</x:v>
      </x:c>
      <x:c r="O90" s="28" t="n">
        <x:f>IF(COUNT(D99:G99)&lt;4,"",POWER(PRODUCT(D99:G99),1/4))</x:f>
        <x:v>2.213363839400643</x:v>
      </x:c>
      <x:c r="Q90" s="29">
        <x:f t="shared" si="30"/>
        <x:v>1.2689315</x:v>
      </x:c>
      <x:c r="R90" s="29">
        <x:f t="shared" si="31"/>
        <x:v>0.1841430903</x:v>
      </x:c>
      <x:c r="S90" s="29" t="n">
        <x:f t="shared" si="32">IF(NOT(COUNT($D$88:$G$102)=60),"",J90*$R$88+K90*$R$89+L90*$R$90+M90*$R$91+N90*$R$92+O90*$R$93)</x:f>
        <x:v>1.106251265186021</x:v>
      </x:c>
      <x:c r="T90" s="29" t="n">
        <x:f t="shared" si="33">IF(R90="","",S90/R90)</x:f>
        <x:v>6.007563267151387</x:v>
      </x:c>
    </x:row>
    <x:row r="91" ht="14.25" customHeight="1">
      <x:c r="A91" s="9">
        <x:v>4.0</x:v>
      </x:c>
      <x:c r="B91" s="9" t="s">
        <x:v>29</x:v>
      </x:c>
      <x:c r="C91" s="9" t="s">
        <x:v>36</x:v>
      </x:c>
      <x:c r="D91" s="25">
        <x:v>1.0</x:v>
      </x:c>
      <x:c r="E91" s="30">
        <x:v>2.0</x:v>
      </x:c>
      <x:c r="F91" s="27">
        <x:v>1.0</x:v>
      </x:c>
      <x:c r="G91" s="30">
        <x:v>3.0</x:v>
      </x:c>
      <x:c r="I91" s="8" t="s">
        <x:v>35</x:v>
      </x:c>
      <x:c r="J91" s="28" t="n">
        <x:f>IF(M88="","",1/M88)</x:f>
        <x:v>0.6389431042462724</x:v>
      </x:c>
      <x:c r="K91" s="28" t="n">
        <x:f>IF(M89="","",1/M89)</x:f>
        <x:v>4.229485053762256</x:v>
      </x:c>
      <x:c r="L91" s="28" t="n">
        <x:f>IF(M90="","",1/M90)</x:f>
        <x:v>1.074569931823542</x:v>
      </x:c>
      <x:c r="M91" s="28">
        <x:v>1.0</x:v>
      </x:c>
      <x:c r="N91" s="28" t="n">
        <x:f>IF(COUNT(D100:G100)&lt;4,"",POWER(PRODUCT(D100:G100),1/4))</x:f>
        <x:v>1</x:v>
      </x:c>
      <x:c r="O91" s="28" t="n">
        <x:f t="shared" ref="O91:O92" si="34">IF(COUNT(D101:G101)&lt;4,"",POWER(PRODUCT(D101:G101),1/4))</x:f>
        <x:v>2.213363839400643</x:v>
      </x:c>
      <x:c r="Q91" s="29">
        <x:f t="shared" si="30"/>
        <x:v>1.363555636</x:v>
      </x:c>
      <x:c r="R91" s="29">
        <x:f t="shared" si="31"/>
        <x:v>0.197874628</x:v>
      </x:c>
      <x:c r="S91" s="29" t="n">
        <x:f t="shared" si="32">IF(NOT(COUNT($D$88:$G$102)=60),"",J91*$R$88+K91*$R$89+L91*$R$90+M91*$R$91+N91*$R$92+O91*$R$93)</x:f>
        <x:v>1.1895344266942656</x:v>
      </x:c>
      <x:c r="T91" s="29" t="n">
        <x:f t="shared" si="33">IF(R91="","",S91/R91)</x:f>
        <x:v>6.011556098512365</x:v>
      </x:c>
    </x:row>
    <x:row r="92" ht="14.25" customHeight="1">
      <x:c r="A92" s="9">
        <x:v>5.0</x:v>
      </x:c>
      <x:c r="B92" s="9" t="s">
        <x:v>29</x:v>
      </x:c>
      <x:c r="C92" s="9" t="s">
        <x:v>37</x:v>
      </x:c>
      <x:c r="D92" s="25">
        <x:v>4.0</x:v>
      </x:c>
      <x:c r="E92" s="30">
        <x:v>2.0</x:v>
      </x:c>
      <x:c r="F92" s="27">
        <x:v>3.0</x:v>
      </x:c>
      <x:c r="G92" s="30">
        <x:v>3.0</x:v>
      </x:c>
      <x:c r="I92" s="8" t="s">
        <x:v>36</x:v>
      </x:c>
      <x:c r="J92" s="28" t="n">
        <x:f>IF(N88="","",1/N88)</x:f>
        <x:v>0.6389431042462724</x:v>
      </x:c>
      <x:c r="K92" s="28" t="n">
        <x:f>IF(N89="","",1/N89)</x:f>
        <x:v>4.229485053762256</x:v>
      </x:c>
      <x:c r="L92" s="28" t="n">
        <x:f>IF(N90="","",1/N90)</x:f>
        <x:v>1.074569931823542</x:v>
      </x:c>
      <x:c r="M92" s="28" t="n">
        <x:f>IF(N91="","",1/N91)</x:f>
        <x:v>1</x:v>
      </x:c>
      <x:c r="N92" s="28">
        <x:v>1.0</x:v>
      </x:c>
      <x:c r="O92" s="28">
        <x:f t="shared" si="34"/>
        <x:v>1.861209718</x:v>
      </x:c>
      <x:c r="Q92" s="29">
        <x:f t="shared" si="30"/>
        <x:v>1.324737854</x:v>
      </x:c>
      <x:c r="R92" s="29">
        <x:f t="shared" si="31"/>
        <x:v>0.1922415215</x:v>
      </x:c>
      <x:c r="S92" s="29" t="n">
        <x:f t="shared" si="32">IF(NOT(COUNT($D$88:$G$102)=60),"",J92*$R$88+K92*$R$89+L92*$R$90+M92*$R$91+N92*$R$92+O92*$R$93)</x:f>
        <x:v>1.1581897702267352</x:v>
      </x:c>
      <x:c r="T92" s="29" t="n">
        <x:f t="shared" si="33">IF(R92="","",S92/R92)</x:f>
        <x:v>6.024659819531938</x:v>
      </x:c>
    </x:row>
    <x:row r="93" ht="14.25" customHeight="1">
      <x:c r="A93" s="9">
        <x:v>6.0</x:v>
      </x:c>
      <x:c r="B93" s="9" t="s">
        <x:v>31</x:v>
      </x:c>
      <x:c r="C93" s="9" t="s">
        <x:v>34</x:v>
      </x:c>
      <x:c r="D93" s="25" t="n">
        <x:f>1/4</x:f>
        <x:v>0.25</x:v>
      </x:c>
      <x:c r="E93" s="31" t="n">
        <x:f>1/5</x:f>
        <x:v>0.2</x:v>
      </x:c>
      <x:c r="F93" s="31" t="n">
        <x:f t="shared" ref="F93:G93" si="35">1/3</x:f>
        <x:v>0.3333333333333333</x:v>
      </x:c>
      <x:c r="G93" s="45">
        <x:f t="shared" si="35"/>
        <x:v>0.3333333333</x:v>
      </x:c>
      <x:c r="I93" s="8" t="s">
        <x:v>37</x:v>
      </x:c>
      <x:c r="J93" s="28" t="n">
        <x:f>IF(O88="","",1/O88)</x:f>
        <x:v>0.34329452398451965</x:v>
      </x:c>
      <x:c r="K93" s="28" t="n">
        <x:f>IF(O89="","",1/O89)</x:f>
        <x:v>1.414213562373095</x:v>
      </x:c>
      <x:c r="L93" s="28" t="n">
        <x:f>IF(O90="","",1/O90)</x:f>
        <x:v>0.45180100180492244</x:v>
      </x:c>
      <x:c r="M93" s="28" t="n">
        <x:f>IF(O91="","",1/O91)</x:f>
        <x:v>0.45180100180492244</x:v>
      </x:c>
      <x:c r="N93" s="28" t="n">
        <x:f>IF(O92="","",1/O92)</x:f>
        <x:v>0.5372849659707182</x:v>
      </x:c>
      <x:c r="O93" s="28">
        <x:v>1.0</x:v>
      </x:c>
      <x:c r="Q93" s="29">
        <x:f t="shared" si="30"/>
        <x:v>0.6133572318</x:v>
      </x:c>
      <x:c r="R93" s="29">
        <x:f t="shared" si="31"/>
        <x:v>0.08900834766</x:v>
      </x:c>
      <x:c r="S93" s="29" t="n">
        <x:f t="shared" si="32">IF(NOT(COUNT($D$88:$G$102)=60),"",J93*$R$88+K93*$R$89+L93*$R$90+M93*$R$91+N93*$R$92+O93*$R$93)</x:f>
        <x:v>0.5369767740189477</x:v>
      </x:c>
      <x:c r="T93" s="29" t="n">
        <x:f t="shared" si="33">IF(R93="","",S93/R93)</x:f>
        <x:v>6.032881051450672</x:v>
      </x:c>
    </x:row>
    <x:row r="94" ht="14.25" customHeight="1">
      <x:c r="A94" s="9">
        <x:v>7.0</x:v>
      </x:c>
      <x:c r="B94" s="9" t="s">
        <x:v>31</x:v>
      </x:c>
      <x:c r="C94" s="9" t="s">
        <x:v>35</x:v>
      </x:c>
      <x:c r="D94" s="25" t="n">
        <x:f t="shared" ref="D94:E94" si="36">1/8</x:f>
        <x:v>0.125</x:v>
      </x:c>
      <x:c r="E94" s="26">
        <x:f t="shared" si="36"/>
        <x:v>0.125</x:v>
      </x:c>
      <x:c r="F94" s="31" t="n">
        <x:f t="shared" ref="F94:F95" si="38">1/5</x:f>
        <x:v>0.2</x:v>
      </x:c>
      <x:c r="G94" s="30">
        <x:v>1.0</x:v>
      </x:c>
    </x:row>
    <x:row r="95" ht="14.25" customHeight="1">
      <x:c r="A95" s="9">
        <x:v>8.0</x:v>
      </x:c>
      <x:c r="B95" s="9" t="s">
        <x:v>31</x:v>
      </x:c>
      <x:c r="C95" s="9" t="s">
        <x:v>36</x:v>
      </x:c>
      <x:c r="D95" s="25" t="n">
        <x:f t="shared" ref="D95:E95" si="37">1/8</x:f>
        <x:v>0.125</x:v>
      </x:c>
      <x:c r="E95" s="26">
        <x:f t="shared" si="37"/>
        <x:v>0.125</x:v>
      </x:c>
      <x:c r="F95" s="31">
        <x:f t="shared" si="38"/>
        <x:v>0.2</x:v>
      </x:c>
      <x:c r="G95" s="30">
        <x:v>1.0</x:v>
      </x:c>
      <x:c r="Q95" s="35" t="s">
        <x:v>143</x:v>
      </x:c>
      <x:c r="R95" s="36" t="n">
        <x:f>IF(NOT(COUNT($D$88:$G$102)=60),"",AVERAGE(T88:T93))</x:f>
        <x:v>6.02415046263597</x:v>
      </x:c>
    </x:row>
    <x:row r="96" ht="14.25" customHeight="1">
      <x:c r="A96" s="9">
        <x:v>9.0</x:v>
      </x:c>
      <x:c r="B96" s="9" t="s">
        <x:v>31</x:v>
      </x:c>
      <x:c r="C96" s="9" t="s">
        <x:v>37</x:v>
      </x:c>
      <x:c r="D96" s="25" t="n">
        <x:f t="shared" ref="D96:D98" si="39">1/2</x:f>
        <x:v>0.5</x:v>
      </x:c>
      <x:c r="E96" s="30">
        <x:v>1.0</x:v>
      </x:c>
      <x:c r="F96" s="31" t="n">
        <x:f t="shared" ref="F96:F98" si="40">1/2</x:f>
        <x:v>0.5</x:v>
      </x:c>
      <x:c r="G96" s="30">
        <x:v>1.0</x:v>
      </x:c>
      <x:c r="Q96" s="37" t="s">
        <x:v>144</x:v>
      </x:c>
      <x:c r="R96" s="38" t="n">
        <x:f>IF(R95="","",(R95-6)/5)</x:f>
        <x:v>0.004830092527194019</x:v>
      </x:c>
    </x:row>
    <x:row r="97" ht="14.25" customHeight="1">
      <x:c r="A97" s="9">
        <x:v>10.0</x:v>
      </x:c>
      <x:c r="B97" s="9" t="s">
        <x:v>34</x:v>
      </x:c>
      <x:c r="C97" s="9" t="s">
        <x:v>35</x:v>
      </x:c>
      <x:c r="D97" s="25">
        <x:f t="shared" si="39"/>
        <x:v>0.5</x:v>
      </x:c>
      <x:c r="E97" s="30">
        <x:v>1.0</x:v>
      </x:c>
      <x:c r="F97" s="31">
        <x:f t="shared" si="40"/>
        <x:v>0.5</x:v>
      </x:c>
      <x:c r="G97" s="30">
        <x:v>3.0</x:v>
      </x:c>
      <x:c r="Q97" s="37" t="s">
        <x:v>145</x:v>
      </x:c>
      <x:c r="R97" s="38">
        <x:v>1.24</x:v>
      </x:c>
    </x:row>
    <x:row r="98" ht="14.25" customHeight="1">
      <x:c r="A98" s="9">
        <x:v>11.0</x:v>
      </x:c>
      <x:c r="B98" s="9" t="s">
        <x:v>34</x:v>
      </x:c>
      <x:c r="C98" s="9" t="s">
        <x:v>36</x:v>
      </x:c>
      <x:c r="D98" s="25">
        <x:f t="shared" si="39"/>
        <x:v>0.5</x:v>
      </x:c>
      <x:c r="E98" s="30">
        <x:v>1.0</x:v>
      </x:c>
      <x:c r="F98" s="31">
        <x:f t="shared" si="40"/>
        <x:v>0.5</x:v>
      </x:c>
      <x:c r="G98" s="30">
        <x:v>3.0</x:v>
      </x:c>
      <x:c r="Q98" s="37" t="s">
        <x:v>146</x:v>
      </x:c>
      <x:c r="R98" s="38" t="n">
        <x:f>IF(R96="","",R96/R97)</x:f>
        <x:v>0.0038952359090274344</x:v>
      </x:c>
    </x:row>
    <x:row r="99" ht="14.25" customHeight="1">
      <x:c r="A99" s="9">
        <x:v>12.0</x:v>
      </x:c>
      <x:c r="B99" s="9" t="s">
        <x:v>34</x:v>
      </x:c>
      <x:c r="C99" s="9" t="s">
        <x:v>37</x:v>
      </x:c>
      <x:c r="D99" s="25">
        <x:v>2.0</x:v>
      </x:c>
      <x:c r="E99" s="30">
        <x:v>2.0</x:v>
      </x:c>
      <x:c r="F99" s="27">
        <x:v>2.0</x:v>
      </x:c>
      <x:c r="G99" s="30">
        <x:v>3.0</x:v>
      </x:c>
      <x:c r="Q99" s="39" t="s">
        <x:v>147</x:v>
      </x:c>
      <x:c r="R99" s="40" t="str">
        <x:f>IF(R98="","",IF(R98&lt;=0.1,"OK","Проверить оценки"))</x:f>
        <x:v>OK</x:v>
      </x:c>
    </x:row>
    <x:row r="100" ht="14.25" customHeight="1">
      <x:c r="A100" s="9">
        <x:v>13.0</x:v>
      </x:c>
      <x:c r="B100" s="9" t="s">
        <x:v>35</x:v>
      </x:c>
      <x:c r="C100" s="9" t="s">
        <x:v>36</x:v>
      </x:c>
      <x:c r="D100" s="25">
        <x:v>1.0</x:v>
      </x:c>
      <x:c r="E100" s="30">
        <x:v>1.0</x:v>
      </x:c>
      <x:c r="F100" s="27">
        <x:v>1.0</x:v>
      </x:c>
      <x:c r="G100" s="30">
        <x:v>1.0</x:v>
      </x:c>
    </x:row>
    <x:row r="101" ht="14.25" customHeight="1">
      <x:c r="A101" s="9">
        <x:v>14.0</x:v>
      </x:c>
      <x:c r="B101" s="9" t="s">
        <x:v>35</x:v>
      </x:c>
      <x:c r="C101" s="9" t="s">
        <x:v>37</x:v>
      </x:c>
      <x:c r="D101" s="25">
        <x:v>4.0</x:v>
      </x:c>
      <x:c r="E101" s="30">
        <x:v>2.0</x:v>
      </x:c>
      <x:c r="F101" s="27">
        <x:v>3.0</x:v>
      </x:c>
      <x:c r="G101" s="30">
        <x:v>1.0</x:v>
      </x:c>
    </x:row>
    <x:row r="102" ht="14.25" customHeight="1">
      <x:c r="A102" s="9">
        <x:v>15.0</x:v>
      </x:c>
      <x:c r="B102" s="9" t="s">
        <x:v>36</x:v>
      </x:c>
      <x:c r="C102" s="9" t="s">
        <x:v>37</x:v>
      </x:c>
      <x:c r="D102" s="25">
        <x:v>4.0</x:v>
      </x:c>
      <x:c r="E102" s="30">
        <x:v>1.0</x:v>
      </x:c>
      <x:c r="F102" s="27">
        <x:v>3.0</x:v>
      </x:c>
      <x:c r="G102" s="30">
        <x:v>1.0</x:v>
      </x:c>
    </x:row>
    <x:row r="103" ht="14.25" customHeight="1">
      <x:c r="F103" s="12"/>
    </x:row>
    <x:row r="104" ht="14.25" customHeight="1">
      <x:c r="F104" s="12"/>
    </x:row>
    <x:row r="105" ht="14.25" customHeight="1">
      <x:c r="F105" s="12"/>
    </x:row>
    <x:row r="106" ht="14.25" customHeight="1">
      <x:c r="F106" s="12"/>
    </x:row>
    <x:row r="107" ht="14.25" customHeight="1">
      <x:c r="F107" s="12"/>
    </x:row>
    <x:row r="108" ht="14.25" customHeight="1">
      <x:c r="A108" s="5" t="s">
        <x:v>157</x:v>
      </x:c>
      <x:c r="B108" s="6"/>
      <x:c r="C108" s="6"/>
      <x:c r="D108" s="6"/>
      <x:c r="E108" s="6"/>
      <x:c r="F108" s="6"/>
      <x:c r="G108" s="7"/>
      <x:c r="I108" s="5" t="s">
        <x:v>158</x:v>
      </x:c>
      <x:c r="J108" s="6"/>
      <x:c r="K108" s="6"/>
      <x:c r="L108" s="6"/>
      <x:c r="M108" s="6"/>
      <x:c r="N108" s="6"/>
      <x:c r="O108" s="7"/>
    </x:row>
    <x:row r="109" ht="14.25" customHeight="1">
      <x:c r="A109" s="8" t="s">
        <x:v>136</x:v>
      </x:c>
      <x:c r="B109" s="8" t="s">
        <x:v>150</x:v>
      </x:c>
      <x:c r="C109" s="8" t="s">
        <x:v>151</x:v>
      </x:c>
      <x:c r="D109" s="8" t="s">
        <x:v>5</x:v>
      </x:c>
      <x:c r="E109" s="8" t="s">
        <x:v>6</x:v>
      </x:c>
      <x:c r="F109" s="24" t="s">
        <x:v>7</x:v>
      </x:c>
      <x:c r="G109" s="8" t="s">
        <x:v>8</x:v>
      </x:c>
      <x:c r="I109" s="8"/>
      <x:c r="J109" s="8" t="s">
        <x:v>29</x:v>
      </x:c>
      <x:c r="K109" s="8" t="s">
        <x:v>31</x:v>
      </x:c>
      <x:c r="L109" s="8" t="s">
        <x:v>34</x:v>
      </x:c>
      <x:c r="M109" s="8" t="s">
        <x:v>35</x:v>
      </x:c>
      <x:c r="N109" s="8" t="s">
        <x:v>36</x:v>
      </x:c>
      <x:c r="O109" s="8" t="s">
        <x:v>37</x:v>
      </x:c>
      <x:c r="Q109" s="8" t="s">
        <x:v>139</x:v>
      </x:c>
      <x:c r="R109" s="8" t="s">
        <x:v>152</x:v>
      </x:c>
      <x:c r="S109" s="8" t="s">
        <x:v>141</x:v>
      </x:c>
      <x:c r="T109" s="8" t="s">
        <x:v>142</x:v>
      </x:c>
    </x:row>
    <x:row r="110" ht="14.25" customHeight="1">
      <x:c r="A110" s="9">
        <x:v>1.0</x:v>
      </x:c>
      <x:c r="B110" s="9" t="s">
        <x:v>29</x:v>
      </x:c>
      <x:c r="C110" s="9" t="s">
        <x:v>31</x:v>
      </x:c>
      <x:c r="D110" s="25" t="n">
        <x:f>1/2</x:f>
        <x:v>0.5</x:v>
      </x:c>
      <x:c r="E110" s="31" t="n">
        <x:f t="shared" ref="E110:G110" si="41">1/3</x:f>
        <x:v>0.3333333333333333</x:v>
      </x:c>
      <x:c r="F110" s="31">
        <x:f t="shared" si="41"/>
        <x:v>0.3333333333</x:v>
      </x:c>
      <x:c r="G110" s="45">
        <x:f t="shared" si="41"/>
        <x:v>0.3333333333</x:v>
      </x:c>
      <x:c r="I110" s="8" t="s">
        <x:v>29</x:v>
      </x:c>
      <x:c r="J110" s="28">
        <x:v>1.0</x:v>
      </x:c>
      <x:c r="K110" s="28" t="n">
        <x:f>IF(COUNT(D110:G110)&lt;4,"",POWER(PRODUCT(D110:G110),1/4))</x:f>
        <x:v>0.36889397321499584</x:v>
      </x:c>
      <x:c r="L110" s="28" t="n">
        <x:f>IF(COUNT(D111:G111)&lt;4,"",POWER(PRODUCT(D111:G111),1/4))</x:f>
        <x:v>0.3593041119630842</x:v>
      </x:c>
      <x:c r="M110" s="28" t="n">
        <x:f>IF(COUNT(D112:G112)&lt;4,"",POWER(PRODUCT(D112:G112),1/4))</x:f>
        <x:v>0.43472087194499137</x:v>
      </x:c>
      <x:c r="N110" s="28" t="n">
        <x:f>IF(COUNT(D113:G113)&lt;4,"",POWER(PRODUCT(D113:G113),1/4))</x:f>
        <x:v>0.18575058000526729</x:v>
      </x:c>
      <x:c r="O110" s="28" t="n">
        <x:f>IF(COUNT(D114:G114)&lt;4,"",POWER(PRODUCT(D114:G114),1/4))</x:f>
        <x:v>0.21147425268811285</x:v>
      </x:c>
      <x:c r="Q110" s="29" t="n">
        <x:f t="shared" ref="Q110:Q115" si="42">IF(NOT(COUNT($D$110:$G$124)=60),"",POWER(PRODUCT(J110:O110),1/6))</x:f>
        <x:v>0.3623489324750387</x:v>
      </x:c>
      <x:c r="R110" s="29" t="n">
        <x:f t="shared" ref="R110:R115" si="43">IF(NOT(COUNT($D$110:$G$124)=60),"",Q110/SUM($Q$110:$Q$115))</x:f>
        <x:v>0.054593394328769605</x:v>
      </x:c>
      <x:c r="S110" s="29" t="n">
        <x:f t="shared" ref="S110:S115" si="44">IF(NOT(COUNT($D$110:$G$124)=60),"",J110*$R$110+K110*$R$111+L110*$R$112+M110*$R$113+N110*$R$114+O110*$R$115)</x:f>
        <x:v>0.3313587729907389</x:v>
      </x:c>
      <x:c r="T110" s="29" t="n">
        <x:f t="shared" ref="T110:T115" si="45">IF(R110="","",S110/R110)</x:f>
        <x:v>6.069576311654973</x:v>
      </x:c>
    </x:row>
    <x:row r="111" ht="14.25" customHeight="1">
      <x:c r="A111" s="9">
        <x:v>2.0</x:v>
      </x:c>
      <x:c r="B111" s="9" t="s">
        <x:v>29</x:v>
      </x:c>
      <x:c r="C111" s="9" t="s">
        <x:v>34</x:v>
      </x:c>
      <x:c r="D111" s="25" t="n">
        <x:f t="shared" ref="D111:D112" si="46">1/4</x:f>
        <x:v>0.25</x:v>
      </x:c>
      <x:c r="E111" s="27">
        <x:v>1.0</x:v>
      </x:c>
      <x:c r="F111" s="31" t="n">
        <x:f>1/5</x:f>
        <x:v>0.2</x:v>
      </x:c>
      <x:c r="G111" s="45" t="n">
        <x:f>1/3</x:f>
        <x:v>0.3333333333333333</x:v>
      </x:c>
      <x:c r="I111" s="8" t="s">
        <x:v>31</x:v>
      </x:c>
      <x:c r="J111" s="28" t="n">
        <x:f>IF(K110="","",1/K110)</x:f>
        <x:v>2.710806010965075</x:v>
      </x:c>
      <x:c r="K111" s="28">
        <x:v>1.0</x:v>
      </x:c>
      <x:c r="L111" s="28" t="n">
        <x:f>IF(COUNT(D115:G115)&lt;4,"",POWER(PRODUCT(D115:G115),1/4))</x:f>
        <x:v>0.8408964152537145</x:v>
      </x:c>
      <x:c r="M111" s="28" t="n">
        <x:f>IF(COUNT(D116:G116)&lt;4,"",POWER(PRODUCT(D116:G116),1/4))</x:f>
        <x:v>1</x:v>
      </x:c>
      <x:c r="N111" s="28" t="n">
        <x:f>IF(COUNT(D117:G117)&lt;4,"",POWER(PRODUCT(D117:G117),1/4))</x:f>
        <x:v>0.6389431042302989</x:v>
      </x:c>
      <x:c r="O111" s="28" t="n">
        <x:f>IF(COUNT(D118:G118)&lt;4,"",POWER(PRODUCT(D118:G118),1/4))</x:f>
        <x:v>0.537284965911771</x:v>
      </x:c>
      <x:c r="Q111" s="29">
        <x:f t="shared" si="42"/>
        <x:v>0.9599559456</x:v>
      </x:c>
      <x:c r="R111" s="29">
        <x:f t="shared" si="43"/>
        <x:v>0.1446320074</x:v>
      </x:c>
      <x:c r="S111" s="29" t="n">
        <x:f t="shared" si="44">IF(NOT(COUNT($D$110:$G$124)=60),"",J111*$R$110+K111*$R$111+L111*$R$112+M111*$R$113+N111*$R$114+O111*$R$115)</x:f>
        <x:v>0.8740105300591774</x:v>
      </x:c>
      <x:c r="T111" s="29" t="n">
        <x:f t="shared" si="45">IF(R111="","",S111/R111)</x:f>
        <x:v>6.042995224715226</x:v>
      </x:c>
    </x:row>
    <x:row r="112" ht="14.25" customHeight="1">
      <x:c r="A112" s="9">
        <x:v>3.0</x:v>
      </x:c>
      <x:c r="B112" s="9" t="s">
        <x:v>29</x:v>
      </x:c>
      <x:c r="C112" s="9" t="s">
        <x:v>35</x:v>
      </x:c>
      <x:c r="D112" s="25">
        <x:f t="shared" si="46"/>
        <x:v>0.25</x:v>
      </x:c>
      <x:c r="E112" s="30">
        <x:v>1.0</x:v>
      </x:c>
      <x:c r="F112" s="31" t="n">
        <x:f t="shared" ref="F112:F113" si="47">1/7</x:f>
        <x:v>0.14285714285714285</x:v>
      </x:c>
      <x:c r="G112" s="30">
        <x:v>1.0</x:v>
      </x:c>
      <x:c r="I112" s="8" t="s">
        <x:v>34</x:v>
      </x:c>
      <x:c r="J112" s="28" t="n">
        <x:f>IF(L110="","",1/L110)</x:f>
        <x:v>2.783157683713741</x:v>
      </x:c>
      <x:c r="K112" s="28" t="n">
        <x:f>IF(L111="","",1/L111)</x:f>
        <x:v>1.189207115002721</x:v>
      </x:c>
      <x:c r="L112" s="28">
        <x:v>1.0</x:v>
      </x:c>
      <x:c r="M112" s="28" t="n">
        <x:f>IF(COUNT(D119:G119)&lt;4,"",POWER(PRODUCT(D119:G119),1/4))</x:f>
        <x:v>1.1066819197003215</x:v>
      </x:c>
      <x:c r="N112" s="28" t="n">
        <x:f>IF(COUNT(D120:G120)&lt;4,"",POWER(PRODUCT(D120:G120),1/4))</x:f>
        <x:v>0.5946035575013605</x:v>
      </x:c>
      <x:c r="O112" s="28" t="n">
        <x:f>IF(COUNT(D121:G121)&lt;4,"",POWER(PRODUCT(D121:G121),1/4))</x:f>
        <x:v>1.8988289221159418</x:v>
      </x:c>
      <x:c r="Q112" s="29">
        <x:f t="shared" si="42"/>
        <x:v>1.266937656</x:v>
      </x:c>
      <x:c r="R112" s="29">
        <x:f t="shared" si="43"/>
        <x:v>0.1908834851</x:v>
      </x:c>
      <x:c r="S112" s="29" t="n">
        <x:f t="shared" si="44">IF(NOT(COUNT($D$110:$G$124)=60),"",J112*$R$110+K112*$R$111+L112*$R$112+M112*$R$113+N112*$R$114+O112*$R$115)</x:f>
        <x:v>1.2245063961885139</x:v>
      </x:c>
      <x:c r="T112" s="29" t="n">
        <x:f t="shared" si="45">IF(R112="","",S112/R112)</x:f>
        <x:v>6.414941531201715</x:v>
      </x:c>
    </x:row>
    <x:row r="113" ht="14.25" customHeight="1">
      <x:c r="A113" s="9">
        <x:v>4.0</x:v>
      </x:c>
      <x:c r="B113" s="9" t="s">
        <x:v>29</x:v>
      </x:c>
      <x:c r="C113" s="9" t="s">
        <x:v>36</x:v>
      </x:c>
      <x:c r="D113" s="25" t="n">
        <x:f>1/8</x:f>
        <x:v>0.125</x:v>
      </x:c>
      <x:c r="E113" s="31" t="n">
        <x:f t="shared" ref="E113:E114" si="48">1/5</x:f>
        <x:v>0.2</x:v>
      </x:c>
      <x:c r="F113" s="31">
        <x:f t="shared" si="47"/>
        <x:v>0.1428571429</x:v>
      </x:c>
      <x:c r="G113" s="45" t="n">
        <x:f>1/3</x:f>
        <x:v>0.3333333333333333</x:v>
      </x:c>
      <x:c r="I113" s="8" t="s">
        <x:v>35</x:v>
      </x:c>
      <x:c r="J113" s="28" t="n">
        <x:f>IF(M110="","",1/M110)</x:f>
        <x:v>2.3003266337912063</x:v>
      </x:c>
      <x:c r="K113" s="28" t="n">
        <x:f>IF(M111="","",1/M111)</x:f>
        <x:v>1</x:v>
      </x:c>
      <x:c r="L113" s="28" t="n">
        <x:f>IF(M112="","",1/M112)</x:f>
        <x:v>0.9036020036098449</x:v>
      </x:c>
      <x:c r="M113" s="28">
        <x:v>1.0</x:v>
      </x:c>
      <x:c r="N113" s="28" t="n">
        <x:f>IF(COUNT(D122:G122)&lt;4,"",POWER(PRODUCT(D122:G122),1/4))</x:f>
        <x:v>0.48549177170732344</x:v>
      </x:c>
      <x:c r="O113" s="28" t="n">
        <x:f t="shared" ref="O113:O114" si="50">IF(COUNT(D123:G123)&lt;4,"",POWER(PRODUCT(D123:G123),1/4))</x:f>
        <x:v>0.7952707287670506</x:v>
      </x:c>
      <x:c r="Q113" s="29">
        <x:f t="shared" si="42"/>
        <x:v>0.9640005036</x:v>
      </x:c>
      <x:c r="R113" s="29">
        <x:f t="shared" si="43"/>
        <x:v>0.1452413817</x:v>
      </x:c>
      <x:c r="S113" s="29" t="n">
        <x:f t="shared" si="44">IF(NOT(COUNT($D$110:$G$124)=60),"",J113*$R$110+K113*$R$111+L113*$R$112+M113*$R$113+N113*$R$114+O113*$R$115)</x:f>
        <x:v>0.8782856225258215</x:v>
      </x:c>
      <x:c r="T113" s="29" t="n">
        <x:f t="shared" si="45">IF(R113="","",S113/R113)</x:f>
        <x:v>6.04707564914209</x:v>
      </x:c>
    </x:row>
    <x:row r="114" ht="14.25" customHeight="1">
      <x:c r="A114" s="9">
        <x:v>5.0</x:v>
      </x:c>
      <x:c r="B114" s="9" t="s">
        <x:v>29</x:v>
      </x:c>
      <x:c r="C114" s="9" t="s">
        <x:v>37</x:v>
      </x:c>
      <x:c r="D114" s="25" t="n">
        <x:f>1/4</x:f>
        <x:v>0.25</x:v>
      </x:c>
      <x:c r="E114" s="31">
        <x:f t="shared" si="48"/>
        <x:v>0.2</x:v>
      </x:c>
      <x:c r="F114" s="31" t="n">
        <x:f t="shared" ref="F114:G114" si="49">1/5</x:f>
        <x:v>0.2</x:v>
      </x:c>
      <x:c r="G114" s="30">
        <x:f t="shared" si="49"/>
        <x:v>0.2</x:v>
      </x:c>
      <x:c r="I114" s="8" t="s">
        <x:v>36</x:v>
      </x:c>
      <x:c r="J114" s="28" t="n">
        <x:f>IF(N110="","",1/N110)</x:f>
        <x:v>5.383563270551528</x:v>
      </x:c>
      <x:c r="K114" s="28" t="n">
        <x:f>IF(N111="","",1/N111)</x:f>
        <x:v>1.5650845801124145</x:v>
      </x:c>
      <x:c r="L114" s="28" t="n">
        <x:f>IF(N112="","",1/N112)</x:f>
        <x:v>1.6817928305074292</x:v>
      </x:c>
      <x:c r="M114" s="28" t="n">
        <x:f>IF(N113="","",1/N113)</x:f>
        <x:v>2.0597671439071177</x:v>
      </x:c>
      <x:c r="N114" s="28">
        <x:v>1.0</x:v>
      </x:c>
      <x:c r="O114" s="28">
        <x:f t="shared" si="50"/>
        <x:v>0.8164965809</x:v>
      </x:c>
      <x:c r="Q114" s="29">
        <x:f t="shared" si="42"/>
        <x:v>1.696388962</x:v>
      </x:c>
      <x:c r="R114" s="29">
        <x:f t="shared" si="43"/>
        <x:v>0.2555868756</x:v>
      </x:c>
      <x:c r="S114" s="29" t="n">
        <x:f t="shared" si="44">IF(NOT(COUNT($D$110:$G$124)=60),"",J114*$R$110+K114*$R$111+L114*$R$112+M114*$R$113+N114*$R$114+O114*$R$115)</x:f>
        <x:v>1.5667442023958684</x:v>
      </x:c>
      <x:c r="T114" s="29" t="n">
        <x:f t="shared" si="45">IF(R114="","",S114/R114)</x:f>
        <x:v>6.129986912347813</x:v>
      </x:c>
    </x:row>
    <x:row r="115" ht="14.25" customHeight="1">
      <x:c r="A115" s="9">
        <x:v>6.0</x:v>
      </x:c>
      <x:c r="B115" s="9" t="s">
        <x:v>31</x:v>
      </x:c>
      <x:c r="C115" s="9" t="s">
        <x:v>34</x:v>
      </x:c>
      <x:c r="D115" s="25" t="n">
        <x:f t="shared" ref="D115:D116" si="51">1/2</x:f>
        <x:v>0.5</x:v>
      </x:c>
      <x:c r="E115" s="30">
        <x:v>2.0</x:v>
      </x:c>
      <x:c r="F115" s="31" t="n">
        <x:f>1/2</x:f>
        <x:v>0.5</x:v>
      </x:c>
      <x:c r="G115" s="30">
        <x:v>1.0</x:v>
      </x:c>
      <x:c r="I115" s="8" t="s">
        <x:v>37</x:v>
      </x:c>
      <x:c r="J115" s="28" t="n">
        <x:f>IF(O110="","",1/O110)</x:f>
        <x:v>4.728708045015878</x:v>
      </x:c>
      <x:c r="K115" s="28" t="n">
        <x:f>IF(O111="","",1/O111)</x:f>
        <x:v>1.8612097182041991</x:v>
      </x:c>
      <x:c r="L115" s="28" t="n">
        <x:f>IF(O112="","",1/O112)</x:f>
        <x:v>0.5266403878479265</x:v>
      </x:c>
      <x:c r="M115" s="28" t="n">
        <x:f>IF(O113="","",1/O113)</x:f>
        <x:v>1.2574334296829355</x:v>
      </x:c>
      <x:c r="N115" s="28" t="n">
        <x:f>IF(O114="","",1/O114)</x:f>
        <x:v>1.2247448714331781</x:v>
      </x:c>
      <x:c r="O115" s="28">
        <x:v>1.0</x:v>
      </x:c>
      <x:c r="Q115" s="29">
        <x:f t="shared" si="42"/>
        <x:v>1.387598327</x:v>
      </x:c>
      <x:c r="R115" s="29">
        <x:f t="shared" si="43"/>
        <x:v>0.2090628559</x:v>
      </x:c>
      <x:c r="S115" s="29" t="n">
        <x:f t="shared" si="44">IF(NOT(COUNT($D$110:$G$124)=60),"",J115*$R$110+K115*$R$111+L115*$R$112+M115*$R$113+N115*$R$114+O115*$R$115)</x:f>
        <x:v>1.3325966130499158</x:v>
      </x:c>
      <x:c r="T115" s="29" t="n">
        <x:f t="shared" si="45">IF(R115="","",S115/R115)</x:f>
        <x:v>6.374143351831615</x:v>
      </x:c>
    </x:row>
    <x:row r="116" ht="14.25" customHeight="1">
      <x:c r="A116" s="9">
        <x:v>7.0</x:v>
      </x:c>
      <x:c r="B116" s="9" t="s">
        <x:v>31</x:v>
      </x:c>
      <x:c r="C116" s="9" t="s">
        <x:v>35</x:v>
      </x:c>
      <x:c r="D116" s="25">
        <x:f t="shared" si="51"/>
        <x:v>0.5</x:v>
      </x:c>
      <x:c r="E116" s="30">
        <x:v>2.0</x:v>
      </x:c>
      <x:c r="F116" s="31" t="n">
        <x:f t="shared" ref="F116:F117" si="52">1/3</x:f>
        <x:v>0.3333333333333333</x:v>
      </x:c>
      <x:c r="G116" s="30">
        <x:v>3.0</x:v>
      </x:c>
    </x:row>
    <x:row r="117" ht="14.25" customHeight="1">
      <x:c r="A117" s="9">
        <x:v>8.0</x:v>
      </x:c>
      <x:c r="B117" s="9" t="s">
        <x:v>31</x:v>
      </x:c>
      <x:c r="C117" s="9" t="s">
        <x:v>36</x:v>
      </x:c>
      <x:c r="D117" s="25" t="n">
        <x:f>1/4</x:f>
        <x:v>0.25</x:v>
      </x:c>
      <x:c r="E117" s="30">
        <x:v>2.0</x:v>
      </x:c>
      <x:c r="F117" s="31">
        <x:f t="shared" si="52"/>
        <x:v>0.3333333333</x:v>
      </x:c>
      <x:c r="G117" s="30">
        <x:v>1.0</x:v>
      </x:c>
      <x:c r="Q117" s="35" t="s">
        <x:v>143</x:v>
      </x:c>
      <x:c r="R117" s="36" t="n">
        <x:f>IF(NOT(COUNT($D$110:$G$124)=60),"",AVERAGE(T110:T115))</x:f>
        <x:v>6.179786496815573</x:v>
      </x:c>
    </x:row>
    <x:row r="118" ht="14.25" customHeight="1">
      <x:c r="A118" s="9">
        <x:v>9.0</x:v>
      </x:c>
      <x:c r="B118" s="9" t="s">
        <x:v>31</x:v>
      </x:c>
      <x:c r="C118" s="9" t="s">
        <x:v>37</x:v>
      </x:c>
      <x:c r="D118" s="25" t="n">
        <x:f>1/2</x:f>
        <x:v>0.5</x:v>
      </x:c>
      <x:c r="E118" s="30">
        <x:v>1.0</x:v>
      </x:c>
      <x:c r="F118" s="31" t="n">
        <x:f t="shared" ref="F118:F119" si="53">1/2</x:f>
        <x:v>0.5</x:v>
      </x:c>
      <x:c r="G118" s="45" t="n">
        <x:f>1/3</x:f>
        <x:v>0.3333333333333333</x:v>
      </x:c>
      <x:c r="Q118" s="37" t="s">
        <x:v>144</x:v>
      </x:c>
      <x:c r="R118" s="38" t="n">
        <x:f>IF(R117="","",(R117-6)/5)</x:f>
        <x:v>0.03595729936311454</x:v>
      </x:c>
    </x:row>
    <x:row r="119" ht="14.25" customHeight="1">
      <x:c r="A119" s="9">
        <x:v>10.0</x:v>
      </x:c>
      <x:c r="B119" s="9" t="s">
        <x:v>34</x:v>
      </x:c>
      <x:c r="C119" s="9" t="s">
        <x:v>35</x:v>
      </x:c>
      <x:c r="D119" s="25">
        <x:v>1.0</x:v>
      </x:c>
      <x:c r="E119" s="30">
        <x:v>1.0</x:v>
      </x:c>
      <x:c r="F119" s="31">
        <x:f t="shared" si="53"/>
        <x:v>0.5</x:v>
      </x:c>
      <x:c r="G119" s="30">
        <x:v>3.0</x:v>
      </x:c>
      <x:c r="Q119" s="37" t="s">
        <x:v>145</x:v>
      </x:c>
      <x:c r="R119" s="38">
        <x:v>1.24</x:v>
      </x:c>
    </x:row>
    <x:row r="120" ht="14.25" customHeight="1">
      <x:c r="A120" s="9">
        <x:v>11.0</x:v>
      </x:c>
      <x:c r="B120" s="9" t="s">
        <x:v>34</x:v>
      </x:c>
      <x:c r="C120" s="9" t="s">
        <x:v>36</x:v>
      </x:c>
      <x:c r="D120" s="25" t="n">
        <x:f>1/2</x:f>
        <x:v>0.5</x:v>
      </x:c>
      <x:c r="E120" s="31" t="n">
        <x:f t="shared" ref="E120:F120" si="54">1/2</x:f>
        <x:v>0.5</x:v>
      </x:c>
      <x:c r="F120" s="31">
        <x:f t="shared" si="54"/>
        <x:v>0.5</x:v>
      </x:c>
      <x:c r="G120" s="30">
        <x:v>1.0</x:v>
      </x:c>
      <x:c r="Q120" s="37" t="s">
        <x:v>146</x:v>
      </x:c>
      <x:c r="R120" s="38" t="n">
        <x:f>IF(R118="","",R118/R119)</x:f>
        <x:v>0.02899782206702785</x:v>
      </x:c>
    </x:row>
    <x:row r="121" ht="14.25" customHeight="1">
      <x:c r="A121" s="9">
        <x:v>12.0</x:v>
      </x:c>
      <x:c r="B121" s="9" t="s">
        <x:v>34</x:v>
      </x:c>
      <x:c r="C121" s="9" t="s">
        <x:v>37</x:v>
      </x:c>
      <x:c r="D121" s="25">
        <x:v>1.0</x:v>
      </x:c>
      <x:c r="E121" s="30">
        <x:v>1.0</x:v>
      </x:c>
      <x:c r="F121" s="27">
        <x:v>1.0</x:v>
      </x:c>
      <x:c r="G121" s="30">
        <x:v>13.0</x:v>
      </x:c>
      <x:c r="Q121" s="39" t="s">
        <x:v>147</x:v>
      </x:c>
      <x:c r="R121" s="40" t="str">
        <x:f>IF(R120="","",IF(R120&lt;=0.1,"OK","Проверить оценки"))</x:f>
        <x:v>OK</x:v>
      </x:c>
    </x:row>
    <x:row r="122" ht="14.25" customHeight="1">
      <x:c r="A122" s="9">
        <x:v>13.0</x:v>
      </x:c>
      <x:c r="B122" s="9" t="s">
        <x:v>35</x:v>
      </x:c>
      <x:c r="C122" s="9" t="s">
        <x:v>36</x:v>
      </x:c>
      <x:c r="D122" s="25" t="n">
        <x:f>1/2</x:f>
        <x:v>0.5</x:v>
      </x:c>
      <x:c r="E122" s="45" t="n">
        <x:f>1/3</x:f>
        <x:v>0.3333333333333333</x:v>
      </x:c>
      <x:c r="F122" s="27">
        <x:v>1.0</x:v>
      </x:c>
      <x:c r="G122" s="45" t="n">
        <x:f>1/3</x:f>
        <x:v>0.3333333333333333</x:v>
      </x:c>
    </x:row>
    <x:row r="123" ht="14.25" customHeight="1">
      <x:c r="A123" s="9">
        <x:v>14.0</x:v>
      </x:c>
      <x:c r="B123" s="9" t="s">
        <x:v>35</x:v>
      </x:c>
      <x:c r="C123" s="9" t="s">
        <x:v>37</x:v>
      </x:c>
      <x:c r="D123" s="25">
        <x:v>1.0</x:v>
      </x:c>
      <x:c r="E123" s="30">
        <x:v>1.0</x:v>
      </x:c>
      <x:c r="F123" s="27">
        <x:v>2.0</x:v>
      </x:c>
      <x:c r="G123" s="30" t="n">
        <x:f>1/5</x:f>
        <x:v>0.2</x:v>
      </x:c>
    </x:row>
    <x:row r="124" ht="14.25" customHeight="1">
      <x:c r="A124" s="9">
        <x:v>15.0</x:v>
      </x:c>
      <x:c r="B124" s="9" t="s">
        <x:v>36</x:v>
      </x:c>
      <x:c r="C124" s="9" t="s">
        <x:v>37</x:v>
      </x:c>
      <x:c r="D124" s="25">
        <x:v>2.0</x:v>
      </x:c>
      <x:c r="E124" s="45" t="n">
        <x:f>1/3</x:f>
        <x:v>0.3333333333333333</x:v>
      </x:c>
      <x:c r="F124" s="27">
        <x:v>2.0</x:v>
      </x:c>
      <x:c r="G124" s="45" t="n">
        <x:f>1/3</x:f>
        <x:v>0.3333333333333333</x:v>
      </x:c>
    </x:row>
    <x:row r="125" ht="14.25" customHeight="1">
      <x:c r="F125" s="12"/>
    </x:row>
    <x:row r="126" ht="14.25" customHeight="1">
      <x:c r="F126" s="12"/>
    </x:row>
    <x:row r="127" ht="14.25" customHeight="1">
      <x:c r="F127" s="12"/>
    </x:row>
    <x:row r="128" ht="14.25" customHeight="1">
      <x:c r="F128" s="12"/>
    </x:row>
    <x:row r="129" ht="14.25" customHeight="1">
      <x:c r="F129" s="12"/>
    </x:row>
    <x:row r="130" ht="14.25" customHeight="1">
      <x:c r="A130" s="5" t="s">
        <x:v>159</x:v>
      </x:c>
      <x:c r="B130" s="6"/>
      <x:c r="C130" s="6"/>
      <x:c r="D130" s="6"/>
      <x:c r="E130" s="6"/>
      <x:c r="F130" s="6"/>
      <x:c r="G130" s="7"/>
      <x:c r="I130" s="5" t="s">
        <x:v>160</x:v>
      </x:c>
      <x:c r="J130" s="6"/>
      <x:c r="K130" s="6"/>
      <x:c r="L130" s="6"/>
      <x:c r="M130" s="6"/>
      <x:c r="N130" s="6"/>
      <x:c r="O130" s="7"/>
    </x:row>
    <x:row r="131" ht="14.25" customHeight="1">
      <x:c r="A131" s="8" t="s">
        <x:v>136</x:v>
      </x:c>
      <x:c r="B131" s="8" t="s">
        <x:v>150</x:v>
      </x:c>
      <x:c r="C131" s="8" t="s">
        <x:v>151</x:v>
      </x:c>
      <x:c r="D131" s="8" t="s">
        <x:v>5</x:v>
      </x:c>
      <x:c r="E131" s="8" t="s">
        <x:v>6</x:v>
      </x:c>
      <x:c r="F131" s="24" t="s">
        <x:v>7</x:v>
      </x:c>
      <x:c r="G131" s="8" t="s">
        <x:v>8</x:v>
      </x:c>
      <x:c r="I131" s="8"/>
      <x:c r="J131" s="8" t="s">
        <x:v>29</x:v>
      </x:c>
      <x:c r="K131" s="8" t="s">
        <x:v>31</x:v>
      </x:c>
      <x:c r="L131" s="8" t="s">
        <x:v>34</x:v>
      </x:c>
      <x:c r="M131" s="8" t="s">
        <x:v>35</x:v>
      </x:c>
      <x:c r="N131" s="8" t="s">
        <x:v>36</x:v>
      </x:c>
      <x:c r="O131" s="8" t="s">
        <x:v>37</x:v>
      </x:c>
      <x:c r="Q131" s="8" t="s">
        <x:v>139</x:v>
      </x:c>
      <x:c r="R131" s="8" t="s">
        <x:v>152</x:v>
      </x:c>
      <x:c r="S131" s="8" t="s">
        <x:v>141</x:v>
      </x:c>
      <x:c r="T131" s="8" t="s">
        <x:v>142</x:v>
      </x:c>
    </x:row>
    <x:row r="132" ht="14.25" customHeight="1">
      <x:c r="A132" s="9">
        <x:v>1.0</x:v>
      </x:c>
      <x:c r="B132" s="9" t="s">
        <x:v>29</x:v>
      </x:c>
      <x:c r="C132" s="9" t="s">
        <x:v>31</x:v>
      </x:c>
      <x:c r="D132" s="25">
        <x:v>8.0</x:v>
      </x:c>
      <x:c r="E132" s="30">
        <x:v>9.0</x:v>
      </x:c>
      <x:c r="F132" s="27">
        <x:v>9.0</x:v>
      </x:c>
      <x:c r="G132" s="30">
        <x:v>9.0</x:v>
      </x:c>
      <x:c r="I132" s="8" t="s">
        <x:v>29</x:v>
      </x:c>
      <x:c r="J132" s="28">
        <x:v>1.0</x:v>
      </x:c>
      <x:c r="K132" s="28" t="n">
        <x:f>IF(COUNT(D132:G132)&lt;4,"",POWER(PRODUCT(D132:G132),1/4))</x:f>
        <x:v>8.738851890731821</x:v>
      </x:c>
      <x:c r="L132" s="28" t="n">
        <x:f>IF(COUNT(D133:G133)&lt;4,"",POWER(PRODUCT(D133:G133),1/4))</x:f>
        <x:v>2.213363839400643</x:v>
      </x:c>
      <x:c r="M132" s="28" t="n">
        <x:f>IF(COUNT(D134:G134)&lt;4,"",POWER(PRODUCT(D134:G134),1/4))</x:f>
        <x:v>2.6591479484724942</x:v>
      </x:c>
      <x:c r="N132" s="28" t="n">
        <x:f>IF(COUNT(D135:G135)&lt;4,"",POWER(PRODUCT(D135:G135),1/4))</x:f>
        <x:v>1.5650845800732873</x:v>
      </x:c>
      <x:c r="O132" s="28" t="n">
        <x:f>IF(COUNT(D136:G136)&lt;4,"",POWER(PRODUCT(D136:G136),1/4))</x:f>
        <x:v>4.924298052104917</x:v>
      </x:c>
      <x:c r="Q132" s="29" t="n">
        <x:f t="shared" ref="Q132:Q137" si="55">IF(NOT(COUNT($D$132:$G$146)=60),"",POWER(PRODUCT(J132:O132),1/6))</x:f>
        <x:v>2.710328753010413</x:v>
      </x:c>
      <x:c r="R132" s="29" t="n">
        <x:f t="shared" ref="R132:R137" si="56">IF(NOT(COUNT($D$132:$G$146)=60),"",Q132/SUM($Q$132:$Q$137))</x:f>
        <x:v>0.34941377816448776</x:v>
      </x:c>
      <x:c r="S132" s="29" t="n">
        <x:f t="shared" ref="S132:S137" si="57">IF(NOT(COUNT($D$132:$G$146)=60),"",J132*$R$132+K132*$R$133+L132*$R$134+M132*$R$135+N132*$R$136+O132*$R$137)</x:f>
        <x:v>2.113423660460142</x:v>
      </x:c>
      <x:c r="T132" s="29" t="n">
        <x:f t="shared" ref="T132:T137" si="58">IF(R132="","",S132/R132)</x:f>
        <x:v>6.048484039645513</x:v>
      </x:c>
    </x:row>
    <x:row r="133" ht="14.25" customHeight="1">
      <x:c r="A133" s="9">
        <x:v>2.0</x:v>
      </x:c>
      <x:c r="B133" s="9" t="s">
        <x:v>29</x:v>
      </x:c>
      <x:c r="C133" s="9" t="s">
        <x:v>34</x:v>
      </x:c>
      <x:c r="D133" s="25">
        <x:v>2.0</x:v>
      </x:c>
      <x:c r="E133" s="30">
        <x:v>2.0</x:v>
      </x:c>
      <x:c r="F133" s="27">
        <x:v>2.0</x:v>
      </x:c>
      <x:c r="G133" s="30">
        <x:v>3.0</x:v>
      </x:c>
      <x:c r="I133" s="8" t="s">
        <x:v>31</x:v>
      </x:c>
      <x:c r="J133" s="28" t="n">
        <x:f>IF(K132="","",1/K132)</x:f>
        <x:v>0.11443150799483988</x:v>
      </x:c>
      <x:c r="K133" s="28">
        <x:v>1.0</x:v>
      </x:c>
      <x:c r="L133" s="28" t="n">
        <x:f>IF(COUNT(D137:G137)&lt;4,"",POWER(PRODUCT(D137:G137),1/4))</x:f>
        <x:v>0.1543033499620919</x:v>
      </x:c>
      <x:c r="M133" s="28" t="n">
        <x:f>IF(COUNT(D138:G138)&lt;4,"",POWER(PRODUCT(D138:G138),1/4))</x:f>
        <x:v>0.18257418583049104</x:v>
      </x:c>
      <x:c r="N133" s="28" t="n">
        <x:f>IF(COUNT(D139:G139)&lt;4,"",POWER(PRODUCT(D139:G139),1/4))</x:f>
        <x:v>0.16036590969528444</x:v>
      </x:c>
      <x:c r="O133" s="28" t="n">
        <x:f>IF(COUNT(D140:G140)&lt;4,"",POWER(PRODUCT(D140:G140),1/4))</x:f>
        <x:v>0.3303164318013807</x:v>
      </x:c>
      <x:c r="Q133" s="29">
        <x:f t="shared" si="55"/>
        <x:v>0.2355413157</x:v>
      </x:c>
      <x:c r="R133" s="29">
        <x:f t="shared" si="56"/>
        <x:v>0.03036582958</x:v>
      </x:c>
      <x:c r="S133" s="29" t="n">
        <x:f t="shared" si="57">IF(NOT(COUNT($D$132:$G$146)=60),"",J133*$R$132+K133*$R$133+L133*$R$134+M133*$R$135+N133*$R$136+O133*$R$137)</x:f>
        <x:v>0.18533594209640686</x:v>
      </x:c>
      <x:c r="T133" s="29" t="n">
        <x:f t="shared" si="58">IF(R133="","",S133/R133)</x:f>
        <x:v>6.103437470994555</x:v>
      </x:c>
    </x:row>
    <x:row r="134" ht="14.25" customHeight="1">
      <x:c r="A134" s="9">
        <x:v>3.0</x:v>
      </x:c>
      <x:c r="B134" s="9" t="s">
        <x:v>29</x:v>
      </x:c>
      <x:c r="C134" s="9" t="s">
        <x:v>35</x:v>
      </x:c>
      <x:c r="D134" s="25">
        <x:v>2.0</x:v>
      </x:c>
      <x:c r="E134" s="30">
        <x:v>5.0</x:v>
      </x:c>
      <x:c r="F134" s="27">
        <x:v>1.0</x:v>
      </x:c>
      <x:c r="G134" s="30">
        <x:v>5.0</x:v>
      </x:c>
      <x:c r="I134" s="8" t="s">
        <x:v>34</x:v>
      </x:c>
      <x:c r="J134" s="28" t="n">
        <x:f>IF(L132="","",1/L132)</x:f>
        <x:v>0.45180100180492244</x:v>
      </x:c>
      <x:c r="K134" s="28" t="n">
        <x:f>IF(L133="","",1/L133)</x:f>
        <x:v>6.48074069840786</x:v>
      </x:c>
      <x:c r="L134" s="28">
        <x:v>1.0</x:v>
      </x:c>
      <x:c r="M134" s="28" t="n">
        <x:f>IF(COUNT(D141:G141)&lt;4,"",POWER(PRODUCT(D141:G141),1/4))</x:f>
        <x:v>1.1066819197003215</x:v>
      </x:c>
      <x:c r="N134" s="28" t="n">
        <x:f>IF(COUNT(D142:G142)&lt;4,"",POWER(PRODUCT(D142:G142),1/4))</x:f>
        <x:v>0.7071067811865476</x:v>
      </x:c>
      <x:c r="O134" s="28" t="n">
        <x:f>IF(COUNT(D143:G143)&lt;4,"",POWER(PRODUCT(D143:G143),1/4))</x:f>
        <x:v>1.6068568378893033</x:v>
      </x:c>
      <x:c r="Q134" s="29">
        <x:f t="shared" si="55"/>
        <x:v>1.242632781</x:v>
      </x:c>
      <x:c r="R134" s="29">
        <x:f t="shared" si="56"/>
        <x:v>0.1601993907</x:v>
      </x:c>
      <x:c r="S134" s="29" t="n">
        <x:f t="shared" si="57">IF(NOT(COUNT($D$132:$G$146)=60),"",J134*$R$132+K134*$R$133+L134*$R$134+M134*$R$135+N134*$R$136+O134*$R$137)</x:f>
        <x:v>0.969680332681904</x:v>
      </x:c>
      <x:c r="T134" s="29" t="n">
        <x:f t="shared" si="58">IF(R134="","",S134/R134)</x:f>
        <x:v>6.052958931022351</x:v>
      </x:c>
    </x:row>
    <x:row r="135" ht="14.25" customHeight="1">
      <x:c r="A135" s="9">
        <x:v>4.0</x:v>
      </x:c>
      <x:c r="B135" s="9" t="s">
        <x:v>29</x:v>
      </x:c>
      <x:c r="C135" s="9" t="s">
        <x:v>36</x:v>
      </x:c>
      <x:c r="D135" s="25">
        <x:v>1.0</x:v>
      </x:c>
      <x:c r="E135" s="30">
        <x:v>2.0</x:v>
      </x:c>
      <x:c r="F135" s="27">
        <x:v>1.0</x:v>
      </x:c>
      <x:c r="G135" s="30">
        <x:v>3.0</x:v>
      </x:c>
      <x:c r="I135" s="8" t="s">
        <x:v>35</x:v>
      </x:c>
      <x:c r="J135" s="28" t="n">
        <x:f>IF(M132="","",1/M132)</x:f>
        <x:v>0.3760603093086394</x:v>
      </x:c>
      <x:c r="K135" s="28" t="n">
        <x:f>IF(M133="","",1/M133)</x:f>
        <x:v>5.477225575188591</x:v>
      </x:c>
      <x:c r="L135" s="28" t="n">
        <x:f>IF(M134="","",1/M134)</x:f>
        <x:v>0.9036020036098449</x:v>
      </x:c>
      <x:c r="M135" s="28">
        <x:v>1.0</x:v>
      </x:c>
      <x:c r="N135" s="28" t="n">
        <x:f>IF(COUNT(D144:G144)&lt;4,"",POWER(PRODUCT(D144:G144),1/4))</x:f>
        <x:v>0.537284965911771</x:v>
      </x:c>
      <x:c r="O135" s="28" t="n">
        <x:f t="shared" ref="O135:O136" si="59">IF(COUNT(D145:G145)&lt;4,"",POWER(PRODUCT(D145:G145),1/4))</x:f>
        <x:v>2.449489742783178</x:v>
      </x:c>
      <x:c r="Q135" s="29">
        <x:f t="shared" si="55"/>
        <x:v>1.161036672</x:v>
      </x:c>
      <x:c r="R135" s="29">
        <x:f t="shared" si="56"/>
        <x:v>0.1496800747</x:v>
      </x:c>
      <x:c r="S135" s="29" t="n">
        <x:f t="shared" si="57">IF(NOT(COUNT($D$132:$G$146)=60),"",J135*$R$132+K135*$R$133+L135*$R$134+M135*$R$135+N135*$R$136+O135*$R$137)</x:f>
        <x:v>0.9070937067408581</x:v>
      </x:c>
      <x:c r="T135" s="29" t="n">
        <x:f t="shared" si="58">IF(R135="","",S135/R135)</x:f>
        <x:v>6.060216822839801</x:v>
      </x:c>
    </x:row>
    <x:row r="136" ht="14.25" customHeight="1">
      <x:c r="A136" s="9">
        <x:v>5.0</x:v>
      </x:c>
      <x:c r="B136" s="9" t="s">
        <x:v>29</x:v>
      </x:c>
      <x:c r="C136" s="9" t="s">
        <x:v>37</x:v>
      </x:c>
      <x:c r="D136" s="25">
        <x:v>4.0</x:v>
      </x:c>
      <x:c r="E136" s="30">
        <x:v>7.0</x:v>
      </x:c>
      <x:c r="F136" s="27">
        <x:v>3.0</x:v>
      </x:c>
      <x:c r="G136" s="30">
        <x:v>7.0</x:v>
      </x:c>
      <x:c r="I136" s="8" t="s">
        <x:v>36</x:v>
      </x:c>
      <x:c r="J136" s="28" t="n">
        <x:f>IF(N132="","",1/N132)</x:f>
        <x:v>0.6389431042462724</x:v>
      </x:c>
      <x:c r="K136" s="28" t="n">
        <x:f>IF(N133="","",1/N133)</x:f>
        <x:v>6.235739265908364</x:v>
      </x:c>
      <x:c r="L136" s="28" t="n">
        <x:f>IF(N134="","",1/N134)</x:f>
        <x:v>1.414213562373095</x:v>
      </x:c>
      <x:c r="M136" s="28" t="n">
        <x:f>IF(N135="","",1/N135)</x:f>
        <x:v>1.8612097182041991</x:v>
      </x:c>
      <x:c r="N136" s="28">
        <x:v>1.0</x:v>
      </x:c>
      <x:c r="O136" s="28">
        <x:f t="shared" si="59"/>
        <x:v>3.30975092</x:v>
      </x:c>
      <x:c r="Q136" s="29">
        <x:f t="shared" si="55"/>
        <x:v>1.806103466</x:v>
      </x:c>
      <x:c r="R136" s="29">
        <x:f t="shared" si="56"/>
        <x:v>0.2328416562</x:v>
      </x:c>
      <x:c r="S136" s="29" t="n">
        <x:f t="shared" si="57">IF(NOT(COUNT($D$132:$G$146)=60),"",J136*$R$132+K136*$R$133+L136*$R$134+M136*$R$135+N136*$R$136+O136*$R$137)</x:f>
        <x:v>1.4070960190065172</x:v>
      </x:c>
      <x:c r="T136" s="29" t="n">
        <x:f t="shared" si="58">IF(R136="","",S136/R136)</x:f>
        <x:v>6.043145552090937</x:v>
      </x:c>
    </x:row>
    <x:row r="137" ht="14.25" customHeight="1">
      <x:c r="A137" s="9">
        <x:v>6.0</x:v>
      </x:c>
      <x:c r="B137" s="9" t="s">
        <x:v>31</x:v>
      </x:c>
      <x:c r="C137" s="9" t="s">
        <x:v>34</x:v>
      </x:c>
      <x:c r="D137" s="25" t="n">
        <x:f t="shared" ref="D137:D138" si="60">1/4</x:f>
        <x:v>0.25</x:v>
      </x:c>
      <x:c r="E137" s="48" t="n">
        <x:f>1/7</x:f>
        <x:v>0.14285714285714285</x:v>
      </x:c>
      <x:c r="F137" s="31" t="n">
        <x:f t="shared" ref="F137:F139" si="61">1/9</x:f>
        <x:v>0.1111111111111111</x:v>
      </x:c>
      <x:c r="G137" s="48" t="n">
        <x:f>1/7</x:f>
        <x:v>0.14285714285714285</x:v>
      </x:c>
      <x:c r="I137" s="8" t="s">
        <x:v>37</x:v>
      </x:c>
      <x:c r="J137" s="28" t="n">
        <x:f>IF(O132="","",1/O132)</x:f>
        <x:v>0.20307462899662312</x:v>
      </x:c>
      <x:c r="K137" s="28" t="n">
        <x:f>IF(O133="","",1/O133)</x:f>
        <x:v>3.027400104035091</x:v>
      </x:c>
      <x:c r="L137" s="28" t="n">
        <x:f>IF(O134="","",1/O134)</x:f>
        <x:v>0.6223329772884784</x:v>
      </x:c>
      <x:c r="M137" s="28" t="n">
        <x:f>IF(O135="","",1/O135)</x:f>
        <x:v>0.4082482904638631</x:v>
      </x:c>
      <x:c r="N137" s="28" t="n">
        <x:f>IF(O136="","",1/O136)</x:f>
        <x:v>0.30213753970344087</x:v>
      </x:c>
      <x:c r="O137" s="28">
        <x:v>1.0</x:v>
      </x:c>
      <x:c r="Q137" s="29">
        <x:f t="shared" si="55"/>
        <x:v>0.6011454459</x:v>
      </x:c>
      <x:c r="R137" s="29">
        <x:f t="shared" si="56"/>
        <x:v>0.07749927061</x:v>
      </x:c>
      <x:c r="S137" s="29" t="n">
        <x:f t="shared" si="57">IF(NOT(COUNT($D$132:$G$146)=60),"",J137*$R$132+K137*$R$133+L137*$R$134+M137*$R$135+N137*$R$136+O137*$R$137)</x:f>
        <x:v>0.47154006313831753</x:v>
      </x:c>
      <x:c r="T137" s="29" t="n">
        <x:f t="shared" si="58">IF(R137="","",S137/R137)</x:f>
        <x:v>6.084445175119791</x:v>
      </x:c>
    </x:row>
    <x:row r="138" ht="14.25" customHeight="1">
      <x:c r="A138" s="9">
        <x:v>7.0</x:v>
      </x:c>
      <x:c r="B138" s="9" t="s">
        <x:v>31</x:v>
      </x:c>
      <x:c r="C138" s="9" t="s">
        <x:v>35</x:v>
      </x:c>
      <x:c r="D138" s="25">
        <x:f t="shared" si="60"/>
        <x:v>0.25</x:v>
      </x:c>
      <x:c r="E138" s="30" t="n">
        <x:f>1/5</x:f>
        <x:v>0.2</x:v>
      </x:c>
      <x:c r="F138" s="31">
        <x:f t="shared" si="61"/>
        <x:v>0.1111111111</x:v>
      </x:c>
      <x:c r="G138" s="30" t="n">
        <x:f>1/5</x:f>
        <x:v>0.2</x:v>
      </x:c>
    </x:row>
    <x:row r="139" ht="14.25" customHeight="1">
      <x:c r="A139" s="9">
        <x:v>8.0</x:v>
      </x:c>
      <x:c r="B139" s="9" t="s">
        <x:v>31</x:v>
      </x:c>
      <x:c r="C139" s="9" t="s">
        <x:v>36</x:v>
      </x:c>
      <x:c r="D139" s="25" t="n">
        <x:f>1/8</x:f>
        <x:v>0.125</x:v>
      </x:c>
      <x:c r="E139" s="45" t="n">
        <x:f>1/3</x:f>
        <x:v>0.3333333333333333</x:v>
      </x:c>
      <x:c r="F139" s="31">
        <x:f t="shared" si="61"/>
        <x:v>0.1111111111</x:v>
      </x:c>
      <x:c r="G139" s="48" t="n">
        <x:f>1/7</x:f>
        <x:v>0.14285714285714285</x:v>
      </x:c>
      <x:c r="Q139" s="35" t="s">
        <x:v>143</x:v>
      </x:c>
      <x:c r="R139" s="36" t="n">
        <x:f>IF(NOT(COUNT($D$132:$G$146)=60),"",AVERAGE(T132:T137))</x:f>
        <x:v>6.065447998618825</x:v>
      </x:c>
    </x:row>
    <x:row r="140" ht="14.25" customHeight="1">
      <x:c r="A140" s="9">
        <x:v>9.0</x:v>
      </x:c>
      <x:c r="B140" s="9" t="s">
        <x:v>31</x:v>
      </x:c>
      <x:c r="C140" s="9" t="s">
        <x:v>37</x:v>
      </x:c>
      <x:c r="D140" s="25" t="n">
        <x:f t="shared" ref="D140:E140" si="62">1/2</x:f>
        <x:v>0.5</x:v>
      </x:c>
      <x:c r="E140" s="26">
        <x:f t="shared" si="62"/>
        <x:v>0.5</x:v>
      </x:c>
      <x:c r="F140" s="31" t="n">
        <x:f>1/7</x:f>
        <x:v>0.14285714285714285</x:v>
      </x:c>
      <x:c r="G140" s="45" t="n">
        <x:f>1/3</x:f>
        <x:v>0.3333333333333333</x:v>
      </x:c>
      <x:c r="Q140" s="37" t="s">
        <x:v>144</x:v>
      </x:c>
      <x:c r="R140" s="38" t="n">
        <x:f>IF(R139="","",(R139-6)/5)</x:f>
        <x:v>0.013089599723764955</x:v>
      </x:c>
    </x:row>
    <x:row r="141" ht="14.25" customHeight="1">
      <x:c r="A141" s="9">
        <x:v>10.0</x:v>
      </x:c>
      <x:c r="B141" s="9" t="s">
        <x:v>34</x:v>
      </x:c>
      <x:c r="C141" s="9" t="s">
        <x:v>35</x:v>
      </x:c>
      <x:c r="D141" s="25">
        <x:v>1.0</x:v>
      </x:c>
      <x:c r="E141" s="30">
        <x:v>1.0</x:v>
      </x:c>
      <x:c r="F141" s="31" t="n">
        <x:f t="shared" ref="F141:F142" si="63">1/2</x:f>
        <x:v>0.5</x:v>
      </x:c>
      <x:c r="G141" s="30">
        <x:v>3.0</x:v>
      </x:c>
      <x:c r="Q141" s="37" t="s">
        <x:v>145</x:v>
      </x:c>
      <x:c r="R141" s="38">
        <x:v>1.24</x:v>
      </x:c>
    </x:row>
    <x:row r="142" ht="14.25" customHeight="1">
      <x:c r="A142" s="9">
        <x:v>11.0</x:v>
      </x:c>
      <x:c r="B142" s="9" t="s">
        <x:v>34</x:v>
      </x:c>
      <x:c r="C142" s="9" t="s">
        <x:v>36</x:v>
      </x:c>
      <x:c r="D142" s="25" t="n">
        <x:f>1/2</x:f>
        <x:v>0.5</x:v>
      </x:c>
      <x:c r="E142" s="30">
        <x:v>1.0</x:v>
      </x:c>
      <x:c r="F142" s="31">
        <x:f t="shared" si="63"/>
        <x:v>0.5</x:v>
      </x:c>
      <x:c r="G142" s="30">
        <x:v>1.0</x:v>
      </x:c>
      <x:c r="Q142" s="37" t="s">
        <x:v>146</x:v>
      </x:c>
      <x:c r="R142" s="38" t="n">
        <x:f>IF(R140="","",R140/R141)</x:f>
        <x:v>0.010556128809487867</x:v>
      </x:c>
    </x:row>
    <x:row r="143" ht="14.25" customHeight="1">
      <x:c r="A143" s="9">
        <x:v>12.0</x:v>
      </x:c>
      <x:c r="B143" s="9" t="s">
        <x:v>34</x:v>
      </x:c>
      <x:c r="C143" s="9" t="s">
        <x:v>37</x:v>
      </x:c>
      <x:c r="D143" s="25">
        <x:v>2.0</x:v>
      </x:c>
      <x:c r="E143" s="45" t="n">
        <x:f>1/3</x:f>
        <x:v>0.3333333333333333</x:v>
      </x:c>
      <x:c r="F143" s="27">
        <x:v>2.0</x:v>
      </x:c>
      <x:c r="G143" s="30">
        <x:v>5.0</x:v>
      </x:c>
      <x:c r="Q143" s="39" t="s">
        <x:v>147</x:v>
      </x:c>
      <x:c r="R143" s="40" t="str">
        <x:f>IF(R142="","",IF(R142&lt;=0.1,"OK","Проверить оценки"))</x:f>
        <x:v>OK</x:v>
      </x:c>
    </x:row>
    <x:row r="144" ht="14.25" customHeight="1">
      <x:c r="A144" s="9">
        <x:v>13.0</x:v>
      </x:c>
      <x:c r="B144" s="9" t="s">
        <x:v>35</x:v>
      </x:c>
      <x:c r="C144" s="9" t="s">
        <x:v>36</x:v>
      </x:c>
      <x:c r="D144" s="25" t="n">
        <x:f t="shared" ref="D144:E144" si="64">1/2</x:f>
        <x:v>0.5</x:v>
      </x:c>
      <x:c r="E144" s="26">
        <x:f t="shared" si="64"/>
        <x:v>0.5</x:v>
      </x:c>
      <x:c r="F144" s="27">
        <x:v>1.0</x:v>
      </x:c>
      <x:c r="G144" s="45" t="n">
        <x:f>1/3</x:f>
        <x:v>0.3333333333333333</x:v>
      </x:c>
    </x:row>
    <x:row r="145" ht="14.25" customHeight="1">
      <x:c r="A145" s="9">
        <x:v>14.0</x:v>
      </x:c>
      <x:c r="B145" s="9" t="s">
        <x:v>35</x:v>
      </x:c>
      <x:c r="C145" s="9" t="s">
        <x:v>37</x:v>
      </x:c>
      <x:c r="D145" s="25">
        <x:v>2.0</x:v>
      </x:c>
      <x:c r="E145" s="30">
        <x:v>2.0</x:v>
      </x:c>
      <x:c r="F145" s="27">
        <x:v>3.0</x:v>
      </x:c>
      <x:c r="G145" s="30">
        <x:v>3.0</x:v>
      </x:c>
    </x:row>
    <x:row r="146" ht="14.25" customHeight="1">
      <x:c r="A146" s="9">
        <x:v>15.0</x:v>
      </x:c>
      <x:c r="B146" s="9" t="s">
        <x:v>36</x:v>
      </x:c>
      <x:c r="C146" s="9" t="s">
        <x:v>37</x:v>
      </x:c>
      <x:c r="D146" s="25">
        <x:v>4.0</x:v>
      </x:c>
      <x:c r="E146" s="30">
        <x:v>2.0</x:v>
      </x:c>
      <x:c r="F146" s="27">
        <x:v>3.0</x:v>
      </x:c>
      <x:c r="G146" s="30">
        <x:v>5.0</x:v>
      </x:c>
    </x:row>
    <x:row r="147" ht="14.25" customHeight="1">
      <x:c r="F147" s="12"/>
    </x:row>
    <x:row r="148" ht="14.25" customHeight="1">
      <x:c r="F148" s="12"/>
    </x:row>
    <x:row r="149" ht="14.25" customHeight="1">
      <x:c r="F149" s="12"/>
    </x:row>
    <x:row r="150" ht="14.25" customHeight="1">
      <x:c r="F150" s="12"/>
    </x:row>
    <x:row r="151" ht="14.25" customHeight="1">
      <x:c r="F151" s="12"/>
    </x:row>
    <x:row r="152" ht="14.25" customHeight="1">
      <x:c r="A152" s="5" t="s">
        <x:v>161</x:v>
      </x:c>
      <x:c r="B152" s="6"/>
      <x:c r="C152" s="6"/>
      <x:c r="D152" s="6"/>
      <x:c r="E152" s="6"/>
      <x:c r="F152" s="6"/>
      <x:c r="G152" s="7"/>
      <x:c r="I152" s="5" t="s">
        <x:v>162</x:v>
      </x:c>
      <x:c r="J152" s="6"/>
      <x:c r="K152" s="6"/>
      <x:c r="L152" s="6"/>
      <x:c r="M152" s="6"/>
      <x:c r="N152" s="6"/>
      <x:c r="O152" s="7"/>
    </x:row>
    <x:row r="153" ht="14.25" customHeight="1">
      <x:c r="A153" s="8" t="s">
        <x:v>136</x:v>
      </x:c>
      <x:c r="B153" s="8" t="s">
        <x:v>150</x:v>
      </x:c>
      <x:c r="C153" s="8" t="s">
        <x:v>151</x:v>
      </x:c>
      <x:c r="D153" s="8" t="s">
        <x:v>5</x:v>
      </x:c>
      <x:c r="E153" s="8" t="s">
        <x:v>6</x:v>
      </x:c>
      <x:c r="F153" s="24" t="s">
        <x:v>7</x:v>
      </x:c>
      <x:c r="G153" s="8" t="s">
        <x:v>8</x:v>
      </x:c>
      <x:c r="I153" s="8"/>
      <x:c r="J153" s="8" t="s">
        <x:v>29</x:v>
      </x:c>
      <x:c r="K153" s="8" t="s">
        <x:v>31</x:v>
      </x:c>
      <x:c r="L153" s="8" t="s">
        <x:v>34</x:v>
      </x:c>
      <x:c r="M153" s="8" t="s">
        <x:v>35</x:v>
      </x:c>
      <x:c r="N153" s="8" t="s">
        <x:v>36</x:v>
      </x:c>
      <x:c r="O153" s="8" t="s">
        <x:v>37</x:v>
      </x:c>
      <x:c r="Q153" s="8" t="s">
        <x:v>139</x:v>
      </x:c>
      <x:c r="R153" s="8" t="s">
        <x:v>152</x:v>
      </x:c>
      <x:c r="S153" s="8" t="s">
        <x:v>141</x:v>
      </x:c>
      <x:c r="T153" s="8" t="s">
        <x:v>142</x:v>
      </x:c>
    </x:row>
    <x:row r="154" ht="14.25" customHeight="1">
      <x:c r="A154" s="9">
        <x:v>1.0</x:v>
      </x:c>
      <x:c r="B154" s="9" t="s">
        <x:v>29</x:v>
      </x:c>
      <x:c r="C154" s="9" t="s">
        <x:v>31</x:v>
      </x:c>
      <x:c r="D154" s="25">
        <x:v>4.0</x:v>
      </x:c>
      <x:c r="E154" s="30">
        <x:v>5.0</x:v>
      </x:c>
      <x:c r="F154" s="27">
        <x:v>5.0</x:v>
      </x:c>
      <x:c r="G154" s="30">
        <x:v>5.0</x:v>
      </x:c>
      <x:c r="I154" s="8" t="s">
        <x:v>29</x:v>
      </x:c>
      <x:c r="J154" s="28">
        <x:v>1.0</x:v>
      </x:c>
      <x:c r="K154" s="28" t="n">
        <x:f>IF(COUNT(D154:G154)&lt;4,"",POWER(PRODUCT(D154:G154),1/4))</x:f>
        <x:v>4.728708045015879</x:v>
      </x:c>
      <x:c r="L154" s="28" t="n">
        <x:f>IF(COUNT(D155:G155)&lt;4,"",POWER(PRODUCT(D155:G155),1/4))</x:f>
        <x:v>2.0597671439071177</x:v>
      </x:c>
      <x:c r="M154" s="28" t="n">
        <x:f>IF(COUNT(D156:G156)&lt;4,"",POWER(PRODUCT(D156:G156),1/4))</x:f>
        <x:v>1.4564753151219703</x:v>
      </x:c>
      <x:c r="N154" s="28" t="n">
        <x:f>IF(COUNT(D157:G157)&lt;4,"",POWER(PRODUCT(D157:G157),1/4))</x:f>
        <x:v>1</x:v>
      </x:c>
      <x:c r="O154" s="28" t="n">
        <x:f>IF(COUNT(D158:G158)&lt;4,"",POWER(PRODUCT(D158:G158),1/4))</x:f>
        <x:v>3.350368958834508</x:v>
      </x:c>
      <x:c r="Q154" s="29" t="n">
        <x:f t="shared" ref="Q154:Q159" si="65">IF(NOT(COUNT($D$154:$G$168)=60),"",POWER(PRODUCT(J154:O154),1/6))</x:f>
        <x:v>1.9032363863508965</x:v>
      </x:c>
      <x:c r="R154" s="29" t="n">
        <x:f t="shared" ref="R154:R159" si="66">IF(NOT(COUNT($D$154:$G$168)=60),"",Q154/SUM($Q$154:$Q$159))</x:f>
        <x:v>0.2595914110353504</x:v>
      </x:c>
      <x:c r="S154" s="29" t="n">
        <x:f t="shared" ref="S154:S159" si="67">IF(NOT(COUNT($D$154:$G$168)=60),"",J154*$R$154+K154*$R$155+L154*$R$156+M154*$R$157+N154*$R$158+O154*$R$159)</x:f>
        <x:v>1.5724674874249567</x:v>
      </x:c>
      <x:c r="T154" s="29" t="n">
        <x:f t="shared" ref="T154:T159" si="68">IF(R154="","",S154/R154)</x:f>
        <x:v>6.057471166528012</x:v>
      </x:c>
    </x:row>
    <x:row r="155" ht="14.25" customHeight="1">
      <x:c r="A155" s="9">
        <x:v>2.0</x:v>
      </x:c>
      <x:c r="B155" s="9" t="s">
        <x:v>29</x:v>
      </x:c>
      <x:c r="C155" s="9" t="s">
        <x:v>34</x:v>
      </x:c>
      <x:c r="D155" s="25">
        <x:v>1.0</x:v>
      </x:c>
      <x:c r="E155" s="30">
        <x:v>3.0</x:v>
      </x:c>
      <x:c r="F155" s="27">
        <x:v>2.0</x:v>
      </x:c>
      <x:c r="G155" s="30">
        <x:v>3.0</x:v>
      </x:c>
      <x:c r="I155" s="8" t="s">
        <x:v>31</x:v>
      </x:c>
      <x:c r="J155" s="28" t="n">
        <x:f>IF(K154="","",1/K154)</x:f>
        <x:v>0.21147425268811282</x:v>
      </x:c>
      <x:c r="K155" s="28">
        <x:v>1.0</x:v>
      </x:c>
      <x:c r="L155" s="28" t="n">
        <x:f>IF(COUNT(D159:G159)&lt;4,"",POWER(PRODUCT(D159:G159),1/4))</x:f>
        <x:v>0.3102016196851898</x:v>
      </x:c>
      <x:c r="M155" s="28" t="n">
        <x:f>IF(COUNT(D160:G160)&lt;4,"",POWER(PRODUCT(D160:G160),1/4))</x:f>
        <x:v>0.20205155046766235</x:v>
      </x:c>
      <x:c r="N155" s="28" t="n">
        <x:f>IF(COUNT(D161:G161)&lt;4,"",POWER(PRODUCT(D161:G161),1/4))</x:f>
        <x:v>0.1778279410038923</x:v>
      </x:c>
      <x:c r="O155" s="28" t="n">
        <x:f>IF(COUNT(D162:G162)&lt;4,"",POWER(PRODUCT(D162:G162),1/4))</x:f>
        <x:v>0.7825422900366437</x:v>
      </x:c>
      <x:c r="Q155" s="29">
        <x:f t="shared" si="65"/>
        <x:v>0.3501966017</x:v>
      </x:c>
      <x:c r="R155" s="29">
        <x:f t="shared" si="66"/>
        <x:v>0.04776497057</x:v>
      </x:c>
      <x:c r="S155" s="29" t="n">
        <x:f t="shared" si="67">IF(NOT(COUNT($D$154:$G$168)=60),"",J155*$R$154+K155*$R$155+L155*$R$156+M155*$R$157+N155*$R$158+O155*$R$159)</x:f>
        <x:v>0.2874916906446391</x:v>
      </x:c>
      <x:c r="T155" s="29" t="n">
        <x:f t="shared" si="68">IF(R155="","",S155/R155)</x:f>
        <x:v>6.018881352042651</x:v>
      </x:c>
    </x:row>
    <x:row r="156" ht="14.25" customHeight="1">
      <x:c r="A156" s="9">
        <x:v>3.0</x:v>
      </x:c>
      <x:c r="B156" s="9" t="s">
        <x:v>29</x:v>
      </x:c>
      <x:c r="C156" s="9" t="s">
        <x:v>35</x:v>
      </x:c>
      <x:c r="D156" s="25" t="n">
        <x:f t="shared" ref="D156:D157" si="69">1/2</x:f>
        <x:v>0.5</x:v>
      </x:c>
      <x:c r="E156" s="30">
        <x:v>3.0</x:v>
      </x:c>
      <x:c r="F156" s="27">
        <x:v>1.0</x:v>
      </x:c>
      <x:c r="G156" s="30">
        <x:v>3.0</x:v>
      </x:c>
      <x:c r="I156" s="8" t="s">
        <x:v>34</x:v>
      </x:c>
      <x:c r="J156" s="28" t="n">
        <x:f>IF(L154="","",1/L154)</x:f>
        <x:v>0.48549177170732344</x:v>
      </x:c>
      <x:c r="K156" s="28" t="n">
        <x:f>IF(L155="","",1/L155)</x:f>
        <x:v>3.2237097956318115</x:v>
      </x:c>
      <x:c r="L156" s="28">
        <x:v>1.0</x:v>
      </x:c>
      <x:c r="M156" s="28" t="n">
        <x:f>IF(COUNT(D163:G163)&lt;4,"",POWER(PRODUCT(D163:G163),1/4))</x:f>
        <x:v>0.5946035575013605</x:v>
      </x:c>
      <x:c r="N156" s="28" t="n">
        <x:f>IF(COUNT(D164:G164)&lt;4,"",POWER(PRODUCT(D164:G164),1/4))</x:f>
        <x:v>0.4518010018049224</x:v>
      </x:c>
      <x:c r="O156" s="28" t="n">
        <x:f>IF(COUNT(D165:G165)&lt;4,"",POWER(PRODUCT(D165:G165),1/4))</x:f>
        <x:v>2.7831576837137404</x:v>
      </x:c>
      <x:c r="Q156" s="29">
        <x:f t="shared" si="65"/>
        <x:v>1.026538053</x:v>
      </x:c>
      <x:c r="R156" s="29">
        <x:f t="shared" si="66"/>
        <x:v>0.1400143795</x:v>
      </x:c>
      <x:c r="S156" s="29" t="n">
        <x:f t="shared" si="67">IF(NOT(COUNT($D$154:$G$168)=60),"",J156*$R$154+K156*$R$155+L156*$R$156+M156*$R$157+N156*$R$158+O156*$R$159)</x:f>
        <x:v>0.8466476477616823</x:v>
      </x:c>
      <x:c r="T156" s="29" t="n">
        <x:f t="shared" si="68">IF(R156="","",S156/R156)</x:f>
        <x:v>6.046862120770119</x:v>
      </x:c>
    </x:row>
    <x:row r="157" ht="14.25" customHeight="1">
      <x:c r="A157" s="9">
        <x:v>4.0</x:v>
      </x:c>
      <x:c r="B157" s="9" t="s">
        <x:v>29</x:v>
      </x:c>
      <x:c r="C157" s="9" t="s">
        <x:v>36</x:v>
      </x:c>
      <x:c r="D157" s="25">
        <x:f t="shared" si="69"/>
        <x:v>0.5</x:v>
      </x:c>
      <x:c r="E157" s="30">
        <x:v>2.0</x:v>
      </x:c>
      <x:c r="F157" s="27">
        <x:v>1.0</x:v>
      </x:c>
      <x:c r="G157" s="30">
        <x:v>1.0</x:v>
      </x:c>
      <x:c r="I157" s="8" t="s">
        <x:v>35</x:v>
      </x:c>
      <x:c r="J157" s="28" t="n">
        <x:f>IF(M154="","",1/M154)</x:f>
        <x:v>0.6865890479690393</x:v>
      </x:c>
      <x:c r="K157" s="28" t="n">
        <x:f>IF(M155="","",1/M155)</x:f>
        <x:v>4.949232003839765</x:v>
      </x:c>
      <x:c r="L157" s="28" t="n">
        <x:f>IF(M156="","",1/M156)</x:f>
        <x:v>1.6817928305074292</x:v>
      </x:c>
      <x:c r="M157" s="28">
        <x:v>1.0</x:v>
      </x:c>
      <x:c r="N157" s="28" t="n">
        <x:f>IF(COUNT(D166:G166)&lt;4,"",POWER(PRODUCT(D166:G166),1/4))</x:f>
        <x:v>0.7598356856515925</x:v>
      </x:c>
      <x:c r="O157" s="28" t="n">
        <x:f t="shared" ref="O157:O158" si="70">IF(COUNT(D167:G167)&lt;4,"",POWER(PRODUCT(D167:G167),1/4))</x:f>
        <x:v>3.6628415014847064</x:v>
      </x:c>
      <x:c r="Q157" s="29">
        <x:f t="shared" si="65"/>
        <x:v>1.585833175</x:v>
      </x:c>
      <x:c r="R157" s="29">
        <x:f t="shared" si="66"/>
        <x:v>0.2162992861</x:v>
      </x:c>
      <x:c r="S157" s="29" t="n">
        <x:f t="shared" si="67">IF(NOT(COUNT($D$154:$G$168)=60),"",J157*$R$154+K157*$R$155+L157*$R$156+M157*$R$157+N157*$R$158+O157*$R$159)</x:f>
        <x:v>1.3038325088421487</x:v>
      </x:c>
      <x:c r="T157" s="29" t="n">
        <x:f t="shared" si="68">IF(R157="","",S157/R157)</x:f>
        <x:v>6.027909441362455</x:v>
      </x:c>
    </x:row>
    <x:row r="158" ht="14.25" customHeight="1">
      <x:c r="A158" s="9">
        <x:v>5.0</x:v>
      </x:c>
      <x:c r="B158" s="9" t="s">
        <x:v>29</x:v>
      </x:c>
      <x:c r="C158" s="9" t="s">
        <x:v>37</x:v>
      </x:c>
      <x:c r="D158" s="25">
        <x:v>2.0</x:v>
      </x:c>
      <x:c r="E158" s="30">
        <x:v>3.0</x:v>
      </x:c>
      <x:c r="F158" s="27">
        <x:v>3.0</x:v>
      </x:c>
      <x:c r="G158" s="30">
        <x:v>7.0</x:v>
      </x:c>
      <x:c r="I158" s="8" t="s">
        <x:v>36</x:v>
      </x:c>
      <x:c r="J158" s="28" t="n">
        <x:f>IF(N154="","",1/N154)</x:f>
        <x:v>1</x:v>
      </x:c>
      <x:c r="K158" s="28" t="n">
        <x:f>IF(N155="","",1/N155)</x:f>
        <x:v>5.62341325190349</x:v>
      </x:c>
      <x:c r="L158" s="28" t="n">
        <x:f>IF(N156="","",1/N156)</x:f>
        <x:v>2.2133638394006434</x:v>
      </x:c>
      <x:c r="M158" s="28" t="n">
        <x:f>IF(N157="","",1/N157)</x:f>
        <x:v>1.3160740129524924</x:v>
      </x:c>
      <x:c r="N158" s="28">
        <x:v>1.0</x:v>
      </x:c>
      <x:c r="O158" s="28">
        <x:f t="shared" si="70"/>
        <x:v>3.984282604</x:v>
      </x:c>
      <x:c r="Q158" s="29">
        <x:f t="shared" si="65"/>
        <x:v>2.006537173</x:v>
      </x:c>
      <x:c r="R158" s="29">
        <x:f t="shared" si="66"/>
        <x:v>0.2736810938</x:v>
      </x:c>
      <x:c r="S158" s="29" t="n">
        <x:f t="shared" si="67">IF(NOT(COUNT($D$154:$G$168)=60),"",J158*$R$154+K158*$R$155+L158*$R$156+M158*$R$157+N158*$R$158+O158*$R$159)</x:f>
        <x:v>1.6460540664672654</x:v>
      </x:c>
      <x:c r="T158" s="29" t="n">
        <x:f t="shared" si="68">IF(R158="","",S158/R158)</x:f>
        <x:v>6.014496813105273</x:v>
      </x:c>
    </x:row>
    <x:row r="159" ht="14.25" customHeight="1">
      <x:c r="A159" s="9">
        <x:v>6.0</x:v>
      </x:c>
      <x:c r="B159" s="9" t="s">
        <x:v>31</x:v>
      </x:c>
      <x:c r="C159" s="9" t="s">
        <x:v>34</x:v>
      </x:c>
      <x:c r="D159" s="25" t="n">
        <x:f>1/4</x:f>
        <x:v>0.25</x:v>
      </x:c>
      <x:c r="E159" s="31" t="n">
        <x:f t="shared" ref="E159:G159" si="71">1/3</x:f>
        <x:v>0.3333333333333333</x:v>
      </x:c>
      <x:c r="F159" s="31">
        <x:f t="shared" si="71"/>
        <x:v>0.3333333333</x:v>
      </x:c>
      <x:c r="G159" s="45">
        <x:f t="shared" si="71"/>
        <x:v>0.3333333333</x:v>
      </x:c>
      <x:c r="I159" s="8" t="s">
        <x:v>37</x:v>
      </x:c>
      <x:c r="J159" s="28" t="n">
        <x:f>IF(O154="","",1/O154)</x:f>
        <x:v>0.2984745896009823</x:v>
      </x:c>
      <x:c r="K159" s="28" t="n">
        <x:f>IF(O155="","",1/O155)</x:f>
        <x:v>1.2778862084925449</x:v>
      </x:c>
      <x:c r="L159" s="28" t="n">
        <x:f>IF(O156="","",1/O156)</x:f>
        <x:v>0.35930411196308426</x:v>
      </x:c>
      <x:c r="M159" s="28" t="n">
        <x:f>IF(O157="","",1/O157)</x:f>
        <x:v>0.2730120862709067</x:v>
      </x:c>
      <x:c r="N159" s="28" t="n">
        <x:f>IF(O158="","",1/O158)</x:f>
        <x:v>0.2509862124227973</x:v>
      </x:c>
      <x:c r="O159" s="28">
        <x:v>1.0</x:v>
      </x:c>
      <x:c r="Q159" s="29">
        <x:f t="shared" si="65"/>
        <x:v>0.4593202355</x:v>
      </x:c>
      <x:c r="R159" s="29">
        <x:f t="shared" si="66"/>
        <x:v>0.06264885901</x:v>
      </x:c>
      <x:c r="S159" s="29" t="n">
        <x:f t="shared" si="67">IF(NOT(COUNT($D$154:$G$168)=60),"",J159*$R$154+K159*$R$155+L159*$R$156+M159*$R$157+N159*$R$158+O159*$R$159)</x:f>
        <x:v>0.3792187388131402</x:v>
      </x:c>
      <x:c r="T159" s="29" t="n">
        <x:f t="shared" si="68">IF(R159="","",S159/R159)</x:f>
        <x:v>6.053082926101006</x:v>
      </x:c>
    </x:row>
    <x:row r="160" ht="14.25" customHeight="1">
      <x:c r="A160" s="9">
        <x:v>7.0</x:v>
      </x:c>
      <x:c r="B160" s="9" t="s">
        <x:v>31</x:v>
      </x:c>
      <x:c r="C160" s="9" t="s">
        <x:v>35</x:v>
      </x:c>
      <x:c r="D160" s="25" t="n">
        <x:f t="shared" ref="D160:D161" si="73">1/8</x:f>
        <x:v>0.125</x:v>
      </x:c>
      <x:c r="E160" s="30" t="n">
        <x:f t="shared" ref="E160:F160" si="72">1/5</x:f>
        <x:v>0.2</x:v>
      </x:c>
      <x:c r="F160" s="31">
        <x:f t="shared" si="72"/>
        <x:v>0.2</x:v>
      </x:c>
      <x:c r="G160" s="45" t="n">
        <x:f>1/3</x:f>
        <x:v>0.3333333333333333</x:v>
      </x:c>
    </x:row>
    <x:row r="161" ht="14.25" customHeight="1">
      <x:c r="A161" s="9">
        <x:v>8.0</x:v>
      </x:c>
      <x:c r="B161" s="9" t="s">
        <x:v>31</x:v>
      </x:c>
      <x:c r="C161" s="9" t="s">
        <x:v>36</x:v>
      </x:c>
      <x:c r="D161" s="25">
        <x:f t="shared" si="73"/>
        <x:v>0.125</x:v>
      </x:c>
      <x:c r="E161" s="30" t="n">
        <x:f t="shared" ref="E161:G161" si="74">1/5</x:f>
        <x:v>0.2</x:v>
      </x:c>
      <x:c r="F161" s="31">
        <x:f t="shared" si="74"/>
        <x:v>0.2</x:v>
      </x:c>
      <x:c r="G161" s="30">
        <x:f t="shared" si="74"/>
        <x:v>0.2</x:v>
      </x:c>
      <x:c r="Q161" s="35" t="s">
        <x:v>143</x:v>
      </x:c>
      <x:c r="R161" s="36" t="n">
        <x:f>IF(NOT(COUNT($D$154:$G$168)=60),"",AVERAGE(T154:T159))</x:f>
        <x:v>6.036450636651587</x:v>
      </x:c>
    </x:row>
    <x:row r="162" ht="14.25" customHeight="1">
      <x:c r="A162" s="9">
        <x:v>9.0</x:v>
      </x:c>
      <x:c r="B162" s="9" t="s">
        <x:v>31</x:v>
      </x:c>
      <x:c r="C162" s="9" t="s">
        <x:v>37</x:v>
      </x:c>
      <x:c r="D162" s="25" t="n">
        <x:f t="shared" ref="D162:E162" si="75">1/2</x:f>
        <x:v>0.5</x:v>
      </x:c>
      <x:c r="E162" s="26">
        <x:f t="shared" si="75"/>
        <x:v>0.5</x:v>
      </x:c>
      <x:c r="F162" s="31" t="n">
        <x:f t="shared" ref="F162:F164" si="77">1/2</x:f>
        <x:v>0.5</x:v>
      </x:c>
      <x:c r="G162" s="30">
        <x:v>3.0</x:v>
      </x:c>
      <x:c r="Q162" s="37" t="s">
        <x:v>144</x:v>
      </x:c>
      <x:c r="R162" s="38" t="n">
        <x:f>IF(R161="","",(R161-6)/5)</x:f>
        <x:v>0.007290127330317375</x:v>
      </x:c>
    </x:row>
    <x:row r="163" ht="14.25" customHeight="1">
      <x:c r="A163" s="9">
        <x:v>10.0</x:v>
      </x:c>
      <x:c r="B163" s="9" t="s">
        <x:v>34</x:v>
      </x:c>
      <x:c r="C163" s="9" t="s">
        <x:v>35</x:v>
      </x:c>
      <x:c r="D163" s="25" t="n">
        <x:f t="shared" ref="D163:E163" si="76">1/2</x:f>
        <x:v>0.5</x:v>
      </x:c>
      <x:c r="E163" s="26">
        <x:f t="shared" si="76"/>
        <x:v>0.5</x:v>
      </x:c>
      <x:c r="F163" s="31">
        <x:f t="shared" si="77"/>
        <x:v>0.5</x:v>
      </x:c>
      <x:c r="G163" s="30">
        <x:v>1.0</x:v>
      </x:c>
      <x:c r="Q163" s="37" t="s">
        <x:v>145</x:v>
      </x:c>
      <x:c r="R163" s="38">
        <x:v>1.24</x:v>
      </x:c>
    </x:row>
    <x:row r="164" ht="14.25" customHeight="1">
      <x:c r="A164" s="9">
        <x:v>11.0</x:v>
      </x:c>
      <x:c r="B164" s="9" t="s">
        <x:v>34</x:v>
      </x:c>
      <x:c r="C164" s="9" t="s">
        <x:v>36</x:v>
      </x:c>
      <x:c r="D164" s="25" t="n">
        <x:f t="shared" ref="D164:E164" si="78">1/2</x:f>
        <x:v>0.5</x:v>
      </x:c>
      <x:c r="E164" s="26">
        <x:f t="shared" si="78"/>
        <x:v>0.5</x:v>
      </x:c>
      <x:c r="F164" s="31">
        <x:f t="shared" si="77"/>
        <x:v>0.5</x:v>
      </x:c>
      <x:c r="G164" s="45" t="n">
        <x:f>1/3</x:f>
        <x:v>0.3333333333333333</x:v>
      </x:c>
      <x:c r="Q164" s="37" t="s">
        <x:v>146</x:v>
      </x:c>
      <x:c r="R164" s="38" t="n">
        <x:f>IF(R162="","",R162/R163)</x:f>
        <x:v>0.005879134943804335</x:v>
      </x:c>
    </x:row>
    <x:row r="165" ht="14.25" customHeight="1">
      <x:c r="A165" s="9">
        <x:v>12.0</x:v>
      </x:c>
      <x:c r="B165" s="9" t="s">
        <x:v>34</x:v>
      </x:c>
      <x:c r="C165" s="9" t="s">
        <x:v>37</x:v>
      </x:c>
      <x:c r="D165" s="25">
        <x:v>2.0</x:v>
      </x:c>
      <x:c r="E165" s="30">
        <x:v>3.0</x:v>
      </x:c>
      <x:c r="F165" s="27">
        <x:v>2.0</x:v>
      </x:c>
      <x:c r="G165" s="30">
        <x:v>5.0</x:v>
      </x:c>
      <x:c r="Q165" s="39" t="s">
        <x:v>147</x:v>
      </x:c>
      <x:c r="R165" s="40" t="str">
        <x:f>IF(R164="","",IF(R164&lt;=0.1,"OK","Проверить оценки"))</x:f>
        <x:v>OK</x:v>
      </x:c>
    </x:row>
    <x:row r="166" ht="14.25" customHeight="1">
      <x:c r="A166" s="9">
        <x:v>13.0</x:v>
      </x:c>
      <x:c r="B166" s="9" t="s">
        <x:v>35</x:v>
      </x:c>
      <x:c r="C166" s="9" t="s">
        <x:v>36</x:v>
      </x:c>
      <x:c r="D166" s="25">
        <x:v>1.0</x:v>
      </x:c>
      <x:c r="E166" s="30">
        <x:v>1.0</x:v>
      </x:c>
      <x:c r="F166" s="27">
        <x:v>1.0</x:v>
      </x:c>
      <x:c r="G166" s="45" t="n">
        <x:f>1/3</x:f>
        <x:v>0.3333333333333333</x:v>
      </x:c>
    </x:row>
    <x:row r="167" ht="14.25" customHeight="1">
      <x:c r="A167" s="9">
        <x:v>14.0</x:v>
      </x:c>
      <x:c r="B167" s="9" t="s">
        <x:v>35</x:v>
      </x:c>
      <x:c r="C167" s="9" t="s">
        <x:v>37</x:v>
      </x:c>
      <x:c r="D167" s="25">
        <x:v>4.0</x:v>
      </x:c>
      <x:c r="E167" s="30">
        <x:v>3.0</x:v>
      </x:c>
      <x:c r="F167" s="27">
        <x:v>3.0</x:v>
      </x:c>
      <x:c r="G167" s="30">
        <x:v>5.0</x:v>
      </x:c>
    </x:row>
    <x:row r="168" ht="14.25" customHeight="1">
      <x:c r="A168" s="9">
        <x:v>15.0</x:v>
      </x:c>
      <x:c r="B168" s="9" t="s">
        <x:v>36</x:v>
      </x:c>
      <x:c r="C168" s="9" t="s">
        <x:v>37</x:v>
      </x:c>
      <x:c r="D168" s="25">
        <x:v>4.0</x:v>
      </x:c>
      <x:c r="E168" s="30">
        <x:v>3.0</x:v>
      </x:c>
      <x:c r="F168" s="27">
        <x:v>3.0</x:v>
      </x:c>
      <x:c r="G168" s="30">
        <x:v>7.0</x:v>
      </x:c>
    </x:row>
    <x:row r="169" ht="14.25" customHeight="1">
      <x:c r="F169" s="12"/>
    </x:row>
    <x:row r="170" ht="14.25" customHeight="1">
      <x:c r="F170" s="12"/>
    </x:row>
    <x:row r="171" ht="14.25" customHeight="1">
      <x:c r="F171" s="12"/>
    </x:row>
    <x:row r="172" ht="14.25" customHeight="1">
      <x:c r="F172" s="12"/>
    </x:row>
    <x:row r="173" ht="14.25" customHeight="1">
      <x:c r="F173" s="12"/>
    </x:row>
    <x:row r="174" ht="14.25" customHeight="1">
      <x:c r="A174" s="5" t="s">
        <x:v>163</x:v>
      </x:c>
      <x:c r="B174" s="6"/>
      <x:c r="C174" s="6"/>
      <x:c r="D174" s="6"/>
      <x:c r="E174" s="6"/>
      <x:c r="F174" s="6"/>
      <x:c r="G174" s="7"/>
      <x:c r="I174" s="5" t="s">
        <x:v>164</x:v>
      </x:c>
      <x:c r="J174" s="6"/>
      <x:c r="K174" s="6"/>
      <x:c r="L174" s="6"/>
      <x:c r="M174" s="6"/>
      <x:c r="N174" s="6"/>
      <x:c r="O174" s="7"/>
    </x:row>
    <x:row r="175" ht="14.25" customHeight="1">
      <x:c r="A175" s="8" t="s">
        <x:v>136</x:v>
      </x:c>
      <x:c r="B175" s="8" t="s">
        <x:v>150</x:v>
      </x:c>
      <x:c r="C175" s="8" t="s">
        <x:v>151</x:v>
      </x:c>
      <x:c r="D175" s="8" t="s">
        <x:v>5</x:v>
      </x:c>
      <x:c r="E175" s="8" t="s">
        <x:v>6</x:v>
      </x:c>
      <x:c r="F175" s="24" t="s">
        <x:v>7</x:v>
      </x:c>
      <x:c r="G175" s="8" t="s">
        <x:v>8</x:v>
      </x:c>
      <x:c r="I175" s="8"/>
      <x:c r="J175" s="8" t="s">
        <x:v>29</x:v>
      </x:c>
      <x:c r="K175" s="8" t="s">
        <x:v>31</x:v>
      </x:c>
      <x:c r="L175" s="8" t="s">
        <x:v>34</x:v>
      </x:c>
      <x:c r="M175" s="8" t="s">
        <x:v>35</x:v>
      </x:c>
      <x:c r="N175" s="8" t="s">
        <x:v>36</x:v>
      </x:c>
      <x:c r="O175" s="8" t="s">
        <x:v>37</x:v>
      </x:c>
      <x:c r="Q175" s="8" t="s">
        <x:v>139</x:v>
      </x:c>
      <x:c r="R175" s="8" t="s">
        <x:v>152</x:v>
      </x:c>
      <x:c r="S175" s="8" t="s">
        <x:v>141</x:v>
      </x:c>
      <x:c r="T175" s="8" t="s">
        <x:v>142</x:v>
      </x:c>
    </x:row>
    <x:row r="176" ht="14.25" customHeight="1">
      <x:c r="A176" s="9">
        <x:v>1.0</x:v>
      </x:c>
      <x:c r="B176" s="9" t="s">
        <x:v>29</x:v>
      </x:c>
      <x:c r="C176" s="9" t="s">
        <x:v>31</x:v>
      </x:c>
      <x:c r="D176" s="25" t="n">
        <x:f>1/2</x:f>
        <x:v>0.5</x:v>
      </x:c>
      <x:c r="E176" s="30">
        <x:v>2.0</x:v>
      </x:c>
      <x:c r="F176" s="31" t="n">
        <x:f>1/2</x:f>
        <x:v>0.5</x:v>
      </x:c>
      <x:c r="G176" s="30">
        <x:v>1.0</x:v>
      </x:c>
      <x:c r="I176" s="8" t="s">
        <x:v>29</x:v>
      </x:c>
      <x:c r="J176" s="28">
        <x:v>1.0</x:v>
      </x:c>
      <x:c r="K176" s="28" t="n">
        <x:f>IF(COUNT(D176:G176)&lt;4,"",POWER(PRODUCT(D176:G176),1/4))</x:f>
        <x:v>0.8408964152537145</x:v>
      </x:c>
      <x:c r="L176" s="28" t="n">
        <x:f>IF(COUNT(D177:G177)&lt;4,"",POWER(PRODUCT(D177:G177),1/4))</x:f>
        <x:v>1.3160740129524924</x:v>
      </x:c>
      <x:c r="M176" s="28" t="n">
        <x:f>IF(COUNT(D178:G178)&lt;4,"",POWER(PRODUCT(D178:G178),1/4))</x:f>
        <x:v>0.8408964152537145</x:v>
      </x:c>
      <x:c r="N176" s="28" t="n">
        <x:f>IF(COUNT(D179:G179)&lt;4,"",POWER(PRODUCT(D179:G179),1/4))</x:f>
        <x:v>0.8408964152537145</x:v>
      </x:c>
      <x:c r="O176" s="28" t="n">
        <x:f>IF(COUNT(D180:G180)&lt;4,"",POWER(PRODUCT(D180:G180),1/4))</x:f>
        <x:v>1.5650845800732873</x:v>
      </x:c>
      <x:c r="Q176" s="29" t="n">
        <x:f t="shared" ref="Q176:Q181" si="79">IF(NOT(COUNT($D$176:$G$190)=60),"",POWER(PRODUCT(J176:O176),1/6))</x:f>
        <x:v>1.0343660831319166</x:v>
      </x:c>
      <x:c r="R176" s="29" t="n">
        <x:f t="shared" ref="R176:R181" si="80">IF(NOT(COUNT($D$176:$G$190)=60),"",Q176/SUM($Q$176:$Q$181))</x:f>
        <x:v>0.16599981397487132</x:v>
      </x:c>
      <x:c r="S176" s="29" t="n">
        <x:f t="shared" ref="S176:S181" si="81">IF(NOT(COUNT($D$176:$G$190)=60),"",J176*$R$176+K176*$R$177+L176*$R$178+M176*$R$179+N176*$R$180+O176*$R$181)</x:f>
        <x:v>0.9988232326736503</x:v>
      </x:c>
      <x:c r="T176" s="29" t="n">
        <x:f t="shared" ref="T176:T181" si="82">IF(R176="","",S176/R176)</x:f>
        <x:v>6.0170141686113565</x:v>
      </x:c>
    </x:row>
    <x:row r="177" ht="14.25" customHeight="1">
      <x:c r="A177" s="9">
        <x:v>2.0</x:v>
      </x:c>
      <x:c r="B177" s="9" t="s">
        <x:v>29</x:v>
      </x:c>
      <x:c r="C177" s="9" t="s">
        <x:v>34</x:v>
      </x:c>
      <x:c r="D177" s="25">
        <x:v>1.0</x:v>
      </x:c>
      <x:c r="E177" s="30">
        <x:v>1.0</x:v>
      </x:c>
      <x:c r="F177" s="27">
        <x:v>1.0</x:v>
      </x:c>
      <x:c r="G177" s="30">
        <x:v>3.0</x:v>
      </x:c>
      <x:c r="I177" s="8" t="s">
        <x:v>31</x:v>
      </x:c>
      <x:c r="J177" s="28" t="n">
        <x:f>IF(K176="","",1/K176)</x:f>
        <x:v>1.189207115002721</x:v>
      </x:c>
      <x:c r="K177" s="28">
        <x:v>1.0</x:v>
      </x:c>
      <x:c r="L177" s="28" t="n">
        <x:f>IF(COUNT(D181:G181)&lt;4,"",POWER(PRODUCT(D181:G181),1/4))</x:f>
        <x:v>1.8612097182041991</x:v>
      </x:c>
      <x:c r="M177" s="28" t="n">
        <x:f>IF(COUNT(D182:G182)&lt;4,"",POWER(PRODUCT(D182:G182),1/4))</x:f>
        <x:v>0.8408964152537145</x:v>
      </x:c>
      <x:c r="N177" s="28" t="n">
        <x:f>IF(COUNT(D183:G183)&lt;4,"",POWER(PRODUCT(D183:G183),1/4))</x:f>
        <x:v>0.8408964152537145</x:v>
      </x:c>
      <x:c r="O177" s="28" t="n">
        <x:f>IF(COUNT(D184:G184)&lt;4,"",POWER(PRODUCT(D184:G184),1/4))</x:f>
        <x:v>1.4142135623730951</x:v>
      </x:c>
      <x:c r="Q177" s="29">
        <x:f t="shared" si="79"/>
        <x:v>1.141586441</x:v>
      </x:c>
      <x:c r="R177" s="29">
        <x:f t="shared" si="80"/>
        <x:v>0.1832070288</x:v>
      </x:c>
      <x:c r="S177" s="29" t="n">
        <x:f t="shared" si="81">IF(NOT(COUNT($D$176:$G$190)=60),"",J177*$R$176+K177*$R$177+L177*$R$178+M177*$R$179+N177*$R$180+O177*$R$181)</x:f>
        <x:v>1.1043634213166675</x:v>
      </x:c>
      <x:c r="T177" s="29" t="n">
        <x:f t="shared" si="82">IF(R177="","",S177/R177)</x:f>
        <x:v>6.027953340820009</x:v>
      </x:c>
    </x:row>
    <x:row r="178" ht="14.25" customHeight="1">
      <x:c r="A178" s="9">
        <x:v>3.0</x:v>
      </x:c>
      <x:c r="B178" s="9" t="s">
        <x:v>29</x:v>
      </x:c>
      <x:c r="C178" s="9" t="s">
        <x:v>35</x:v>
      </x:c>
      <x:c r="D178" s="25" t="n">
        <x:f t="shared" ref="D178:D179" si="83">1/2</x:f>
        <x:v>0.5</x:v>
      </x:c>
      <x:c r="E178" s="30">
        <x:v>2.0</x:v>
      </x:c>
      <x:c r="F178" s="31" t="n">
        <x:f t="shared" ref="F178:F179" si="84">1/2</x:f>
        <x:v>0.5</x:v>
      </x:c>
      <x:c r="G178" s="30">
        <x:v>1.0</x:v>
      </x:c>
      <x:c r="I178" s="8" t="s">
        <x:v>34</x:v>
      </x:c>
      <x:c r="J178" s="28" t="n">
        <x:f>IF(L176="","",1/L176)</x:f>
        <x:v>0.7598356856515925</x:v>
      </x:c>
      <x:c r="K178" s="28" t="n">
        <x:f>IF(L177="","",1/L177)</x:f>
        <x:v>0.537284965911771</x:v>
      </x:c>
      <x:c r="L178" s="28">
        <x:v>1.0</x:v>
      </x:c>
      <x:c r="M178" s="28" t="n">
        <x:f>IF(COUNT(D185:G185)&lt;4,"",POWER(PRODUCT(D185:G185),1/4))</x:f>
        <x:v>0.537284965911771</x:v>
      </x:c>
      <x:c r="N178" s="28" t="n">
        <x:f>IF(COUNT(D186:G186)&lt;4,"",POWER(PRODUCT(D186:G186),1/4))</x:f>
        <x:v>0.5372849658983389</x:v>
      </x:c>
      <x:c r="O178" s="28" t="n">
        <x:f>IF(COUNT(D187:G187)&lt;4,"",POWER(PRODUCT(D187:G187),1/4))</x:f>
        <x:v>1</x:v>
      </x:c>
      <x:c r="Q178" s="29">
        <x:f t="shared" si="79"/>
        <x:v>0.7002002991</x:v>
      </x:c>
      <x:c r="R178" s="29">
        <x:f t="shared" si="80"/>
        <x:v>0.1123713561</x:v>
      </x:c>
      <x:c r="S178" s="29" t="n">
        <x:f t="shared" si="81">IF(NOT(COUNT($D$176:$G$190)=60),"",J178*$R$176+K178*$R$177+L178*$R$178+M178*$R$179+N178*$R$180+O178*$R$181)</x:f>
        <x:v>0.6761380484774439</x:v>
      </x:c>
      <x:c r="T178" s="29" t="n">
        <x:f t="shared" si="82">IF(R178="","",S178/R178)</x:f>
        <x:v>6.016996429906428</x:v>
      </x:c>
    </x:row>
    <x:row r="179" ht="14.25" customHeight="1">
      <x:c r="A179" s="9">
        <x:v>4.0</x:v>
      </x:c>
      <x:c r="B179" s="9" t="s">
        <x:v>29</x:v>
      </x:c>
      <x:c r="C179" s="9" t="s">
        <x:v>36</x:v>
      </x:c>
      <x:c r="D179" s="25">
        <x:f t="shared" si="83"/>
        <x:v>0.5</x:v>
      </x:c>
      <x:c r="E179" s="30">
        <x:v>2.0</x:v>
      </x:c>
      <x:c r="F179" s="31">
        <x:f t="shared" si="84"/>
        <x:v>0.5</x:v>
      </x:c>
      <x:c r="G179" s="30">
        <x:v>1.0</x:v>
      </x:c>
      <x:c r="I179" s="8" t="s">
        <x:v>35</x:v>
      </x:c>
      <x:c r="J179" s="28" t="n">
        <x:f>IF(M176="","",1/M176)</x:f>
        <x:v>1.189207115002721</x:v>
      </x:c>
      <x:c r="K179" s="28" t="n">
        <x:f>IF(M177="","",1/M177)</x:f>
        <x:v>1.189207115002721</x:v>
      </x:c>
      <x:c r="L179" s="28" t="n">
        <x:f>IF(M178="","",1/M178)</x:f>
        <x:v>1.8612097182041991</x:v>
      </x:c>
      <x:c r="M179" s="28">
        <x:v>1.0</x:v>
      </x:c>
      <x:c r="N179" s="28" t="n">
        <x:f>IF(COUNT(D188:G188)&lt;4,"",POWER(PRODUCT(D188:G188),1/4))</x:f>
        <x:v>1</x:v>
      </x:c>
      <x:c r="O179" s="28" t="n">
        <x:f t="shared" ref="O179:O180" si="85">IF(COUNT(D189:G189)&lt;4,"",POWER(PRODUCT(D189:G189),1/4))</x:f>
        <x:v>2.213363839400643</x:v>
      </x:c>
      <x:c r="Q179" s="29">
        <x:f t="shared" si="79"/>
        <x:v>1.341406851</x:v>
      </x:c>
      <x:c r="R179" s="29">
        <x:f t="shared" si="80"/>
        <x:v>0.2152751249</x:v>
      </x:c>
      <x:c r="S179" s="29" t="n">
        <x:f t="shared" si="81">IF(NOT(COUNT($D$176:$G$190)=60),"",J179*$R$176+K179*$R$177+L179*$R$178+M179*$R$179+N179*$R$180+O179*$R$181)</x:f>
        <x:v>1.293735163025426</x:v>
      </x:c>
      <x:c r="T179" s="29" t="n">
        <x:f t="shared" si="82">IF(R179="","",S179/R179)</x:f>
        <x:v>6.009682556804434</x:v>
      </x:c>
    </x:row>
    <x:row r="180" ht="14.25" customHeight="1">
      <x:c r="A180" s="9">
        <x:v>5.0</x:v>
      </x:c>
      <x:c r="B180" s="9" t="s">
        <x:v>29</x:v>
      </x:c>
      <x:c r="C180" s="9" t="s">
        <x:v>37</x:v>
      </x:c>
      <x:c r="D180" s="25">
        <x:v>1.0</x:v>
      </x:c>
      <x:c r="E180" s="30">
        <x:v>2.0</x:v>
      </x:c>
      <x:c r="F180" s="27">
        <x:v>1.0</x:v>
      </x:c>
      <x:c r="G180" s="30">
        <x:v>3.0</x:v>
      </x:c>
      <x:c r="I180" s="8" t="s">
        <x:v>36</x:v>
      </x:c>
      <x:c r="J180" s="28" t="n">
        <x:f>IF(N176="","",1/N176)</x:f>
        <x:v>1.189207115002721</x:v>
      </x:c>
      <x:c r="K180" s="28" t="n">
        <x:f>IF(N177="","",1/N177)</x:f>
        <x:v>1.189207115002721</x:v>
      </x:c>
      <x:c r="L180" s="28" t="n">
        <x:f>IF(N178="","",1/N178)</x:f>
        <x:v>1.8612097182507295</x:v>
      </x:c>
      <x:c r="M180" s="28" t="n">
        <x:f>IF(N179="","",1/N179)</x:f>
        <x:v>1</x:v>
      </x:c>
      <x:c r="N180" s="28">
        <x:v>1.0</x:v>
      </x:c>
      <x:c r="O180" s="28">
        <x:f t="shared" si="85"/>
        <x:v>2.213363839</x:v>
      </x:c>
      <x:c r="Q180" s="29">
        <x:f t="shared" si="79"/>
        <x:v>1.341406851</x:v>
      </x:c>
      <x:c r="R180" s="29">
        <x:f t="shared" si="80"/>
        <x:v>0.2152751249</x:v>
      </x:c>
      <x:c r="S180" s="29" t="n">
        <x:f t="shared" si="81">IF(NOT(COUNT($D$176:$G$190)=60),"",J180*$R$176+K180*$R$177+L180*$R$178+M180*$R$179+N180*$R$180+O180*$R$181)</x:f>
        <x:v>1.2937351629874367</x:v>
      </x:c>
      <x:c r="T180" s="29" t="n">
        <x:f t="shared" si="82">IF(R180="","",S180/R180)</x:f>
        <x:v>6.009682556627966</x:v>
      </x:c>
    </x:row>
    <x:row r="181" ht="14.25" customHeight="1">
      <x:c r="A181" s="9">
        <x:v>6.0</x:v>
      </x:c>
      <x:c r="B181" s="9" t="s">
        <x:v>31</x:v>
      </x:c>
      <x:c r="C181" s="9" t="s">
        <x:v>34</x:v>
      </x:c>
      <x:c r="D181" s="25">
        <x:v>2.0</x:v>
      </x:c>
      <x:c r="E181" s="30">
        <x:v>1.0</x:v>
      </x:c>
      <x:c r="F181" s="27">
        <x:v>2.0</x:v>
      </x:c>
      <x:c r="G181" s="30">
        <x:v>3.0</x:v>
      </x:c>
      <x:c r="I181" s="8" t="s">
        <x:v>37</x:v>
      </x:c>
      <x:c r="J181" s="28" t="n">
        <x:f>IF(O176="","",1/O176)</x:f>
        <x:v>0.6389431042462724</x:v>
      </x:c>
      <x:c r="K181" s="28" t="n">
        <x:f>IF(O177="","",1/O177)</x:f>
        <x:v>0.7071067811865475</x:v>
      </x:c>
      <x:c r="L181" s="28" t="n">
        <x:f>IF(O178="","",1/O178)</x:f>
        <x:v>1</x:v>
      </x:c>
      <x:c r="M181" s="28" t="n">
        <x:f>IF(O179="","",1/O179)</x:f>
        <x:v>0.45180100180492244</x:v>
      </x:c>
      <x:c r="N181" s="28" t="n">
        <x:f>IF(O180="","",1/O180)</x:f>
        <x:v>0.4518010018867034</x:v>
      </x:c>
      <x:c r="O181" s="28">
        <x:v>1.0</x:v>
      </x:c>
      <x:c r="Q181" s="29">
        <x:f t="shared" si="79"/>
        <x:v>0.6721614403</x:v>
      </x:c>
      <x:c r="R181" s="29">
        <x:f t="shared" si="80"/>
        <x:v>0.1078715514</x:v>
      </x:c>
      <x:c r="S181" s="29" t="n">
        <x:f t="shared" si="81">IF(NOT(COUNT($D$176:$G$190)=60),"",J181*$R$176+K181*$R$177+L181*$R$178+M181*$R$179+N181*$R$180+O181*$R$181)</x:f>
        <x:v>0.6503773105755322</x:v>
      </x:c>
      <x:c r="T181" s="29" t="n">
        <x:f t="shared" si="82">IF(R181="","",S181/R181)</x:f>
        <x:v>6.029182876622021</x:v>
      </x:c>
    </x:row>
    <x:row r="182" ht="14.25" customHeight="1">
      <x:c r="A182" s="9">
        <x:v>7.0</x:v>
      </x:c>
      <x:c r="B182" s="9" t="s">
        <x:v>31</x:v>
      </x:c>
      <x:c r="C182" s="9" t="s">
        <x:v>35</x:v>
      </x:c>
      <x:c r="D182" s="25">
        <x:v>1.0</x:v>
      </x:c>
      <x:c r="E182" s="26" t="n">
        <x:f t="shared" ref="E182:E183" si="86">1/2</x:f>
        <x:v>0.5</x:v>
      </x:c>
      <x:c r="F182" s="27">
        <x:v>1.0</x:v>
      </x:c>
      <x:c r="G182" s="30">
        <x:v>1.0</x:v>
      </x:c>
    </x:row>
    <x:row r="183" ht="14.25" customHeight="1">
      <x:c r="A183" s="9">
        <x:v>8.0</x:v>
      </x:c>
      <x:c r="B183" s="9" t="s">
        <x:v>31</x:v>
      </x:c>
      <x:c r="C183" s="9" t="s">
        <x:v>36</x:v>
      </x:c>
      <x:c r="D183" s="25">
        <x:v>1.0</x:v>
      </x:c>
      <x:c r="E183" s="26">
        <x:f t="shared" si="86"/>
        <x:v>0.5</x:v>
      </x:c>
      <x:c r="F183" s="27">
        <x:v>1.0</x:v>
      </x:c>
      <x:c r="G183" s="30">
        <x:v>1.0</x:v>
      </x:c>
      <x:c r="Q183" s="35" t="s">
        <x:v>143</x:v>
      </x:c>
      <x:c r="R183" s="36" t="n">
        <x:f>IF(NOT(COUNT($D$176:$G$190)=60),"",AVERAGE(T176:T181))</x:f>
        <x:v>6.018418654898703</x:v>
      </x:c>
    </x:row>
    <x:row r="184" ht="14.25" customHeight="1">
      <x:c r="A184" s="9">
        <x:v>9.0</x:v>
      </x:c>
      <x:c r="B184" s="9" t="s">
        <x:v>31</x:v>
      </x:c>
      <x:c r="C184" s="9" t="s">
        <x:v>37</x:v>
      </x:c>
      <x:c r="D184" s="25">
        <x:v>2.0</x:v>
      </x:c>
      <x:c r="E184" s="45" t="n">
        <x:f>1/3</x:f>
        <x:v>0.3333333333333333</x:v>
      </x:c>
      <x:c r="F184" s="27">
        <x:v>2.0</x:v>
      </x:c>
      <x:c r="G184" s="30">
        <x:v>3.0</x:v>
      </x:c>
      <x:c r="Q184" s="37" t="s">
        <x:v>144</x:v>
      </x:c>
      <x:c r="R184" s="38" t="n">
        <x:f>IF(R183="","",(R183-6)/5)</x:f>
        <x:v>0.003683730979740574</x:v>
      </x:c>
    </x:row>
    <x:row r="185" ht="14.25" customHeight="1">
      <x:c r="A185" s="9">
        <x:v>10.0</x:v>
      </x:c>
      <x:c r="B185" s="9" t="s">
        <x:v>34</x:v>
      </x:c>
      <x:c r="C185" s="9" t="s">
        <x:v>35</x:v>
      </x:c>
      <x:c r="D185" s="25" t="n">
        <x:f t="shared" ref="D185:D186" si="87">1/2</x:f>
        <x:v>0.5</x:v>
      </x:c>
      <x:c r="E185" s="30">
        <x:v>1.0</x:v>
      </x:c>
      <x:c r="F185" s="31" t="n">
        <x:f t="shared" ref="F185:F186" si="88">1/2</x:f>
        <x:v>0.5</x:v>
      </x:c>
      <x:c r="G185" s="45" t="n">
        <x:f t="shared" ref="G185:G186" si="89">1/3</x:f>
        <x:v>0.3333333333333333</x:v>
      </x:c>
      <x:c r="Q185" s="37" t="s">
        <x:v>145</x:v>
      </x:c>
      <x:c r="R185" s="38">
        <x:v>1.24</x:v>
      </x:c>
    </x:row>
    <x:row r="186" ht="14.25" customHeight="1">
      <x:c r="A186" s="9">
        <x:v>11.0</x:v>
      </x:c>
      <x:c r="B186" s="9" t="s">
        <x:v>34</x:v>
      </x:c>
      <x:c r="C186" s="9" t="s">
        <x:v>36</x:v>
      </x:c>
      <x:c r="D186" s="25">
        <x:f t="shared" si="87"/>
        <x:v>0.5</x:v>
      </x:c>
      <x:c r="E186" s="30">
        <x:v>1.0</x:v>
      </x:c>
      <x:c r="F186" s="31">
        <x:f t="shared" si="88"/>
        <x:v>0.5</x:v>
      </x:c>
      <x:c r="G186" s="45">
        <x:f t="shared" si="89"/>
        <x:v>0.3333333333</x:v>
      </x:c>
      <x:c r="Q186" s="37" t="s">
        <x:v>146</x:v>
      </x:c>
      <x:c r="R186" s="38" t="n">
        <x:f>IF(R184="","",R184/R185)</x:f>
        <x:v>0.002970750790113366</x:v>
      </x:c>
    </x:row>
    <x:row r="187" ht="14.25" customHeight="1">
      <x:c r="A187" s="9">
        <x:v>12.0</x:v>
      </x:c>
      <x:c r="B187" s="9" t="s">
        <x:v>34</x:v>
      </x:c>
      <x:c r="C187" s="9" t="s">
        <x:v>37</x:v>
      </x:c>
      <x:c r="D187" s="25">
        <x:v>1.0</x:v>
      </x:c>
      <x:c r="E187" s="30">
        <x:v>1.0</x:v>
      </x:c>
      <x:c r="F187" s="27">
        <x:v>1.0</x:v>
      </x:c>
      <x:c r="G187" s="30">
        <x:v>1.0</x:v>
      </x:c>
      <x:c r="Q187" s="39" t="s">
        <x:v>147</x:v>
      </x:c>
      <x:c r="R187" s="40" t="str">
        <x:f>IF(R186="","",IF(R186&lt;=0.1,"OK","Проверить оценки"))</x:f>
        <x:v>OK</x:v>
      </x:c>
    </x:row>
    <x:row r="188" ht="14.25" customHeight="1">
      <x:c r="A188" s="9">
        <x:v>13.0</x:v>
      </x:c>
      <x:c r="B188" s="9" t="s">
        <x:v>35</x:v>
      </x:c>
      <x:c r="C188" s="9" t="s">
        <x:v>36</x:v>
      </x:c>
      <x:c r="D188" s="25">
        <x:v>1.0</x:v>
      </x:c>
      <x:c r="E188" s="30">
        <x:v>1.0</x:v>
      </x:c>
      <x:c r="F188" s="27">
        <x:v>1.0</x:v>
      </x:c>
      <x:c r="G188" s="30">
        <x:v>1.0</x:v>
      </x:c>
    </x:row>
    <x:row r="189" ht="14.25" customHeight="1">
      <x:c r="A189" s="9">
        <x:v>14.0</x:v>
      </x:c>
      <x:c r="B189" s="9" t="s">
        <x:v>35</x:v>
      </x:c>
      <x:c r="C189" s="9" t="s">
        <x:v>37</x:v>
      </x:c>
      <x:c r="D189" s="25">
        <x:v>2.0</x:v>
      </x:c>
      <x:c r="E189" s="30">
        <x:v>2.0</x:v>
      </x:c>
      <x:c r="F189" s="27">
        <x:v>2.0</x:v>
      </x:c>
      <x:c r="G189" s="30">
        <x:v>3.0</x:v>
      </x:c>
    </x:row>
    <x:row r="190" ht="14.25" customHeight="1">
      <x:c r="A190" s="9">
        <x:v>15.0</x:v>
      </x:c>
      <x:c r="B190" s="9" t="s">
        <x:v>36</x:v>
      </x:c>
      <x:c r="C190" s="9" t="s">
        <x:v>37</x:v>
      </x:c>
      <x:c r="D190" s="25">
        <x:v>2.0</x:v>
      </x:c>
      <x:c r="E190" s="30">
        <x:v>2.0</x:v>
      </x:c>
      <x:c r="F190" s="27">
        <x:v>2.0</x:v>
      </x:c>
      <x:c r="G190" s="30">
        <x:v>3.0</x:v>
      </x:c>
    </x:row>
    <x:row r="191" ht="14.25" customHeight="1">
      <x:c r="F191" s="12"/>
    </x:row>
    <x:row r="192" ht="14.25" customHeight="1">
      <x:c r="F192" s="12"/>
    </x:row>
    <x:row r="193" ht="14.25" customHeight="1">
      <x:c r="F193" s="12"/>
    </x:row>
    <x:row r="194" ht="14.25" customHeight="1">
      <x:c r="F194" s="12"/>
    </x:row>
    <x:row r="195" ht="14.25" customHeight="1">
      <x:c r="F195" s="12"/>
    </x:row>
    <x:row r="196" ht="14.25" customHeight="1">
      <x:c r="F196" s="12"/>
    </x:row>
    <x:row r="197" ht="14.25" customHeight="1">
      <x:c r="F197" s="12"/>
    </x:row>
    <x:row r="198" ht="14.25" customHeight="1">
      <x:c r="A198" s="5" t="s">
        <x:v>165</x:v>
      </x:c>
      <x:c r="B198" s="6"/>
      <x:c r="C198" s="6"/>
      <x:c r="D198" s="6"/>
      <x:c r="E198" s="6"/>
      <x:c r="F198" s="6"/>
      <x:c r="G198" s="6"/>
      <x:c r="H198" s="6"/>
      <x:c r="I198" s="6"/>
      <x:c r="J198" s="6"/>
      <x:c r="K198" s="7"/>
    </x:row>
    <x:row r="199" ht="14.25" customHeight="1">
      <x:c r="A199" s="8" t="s">
        <x:v>28</x:v>
      </x:c>
      <x:c r="B199" s="8" t="s">
        <x:v>9</x:v>
      </x:c>
      <x:c r="C199" s="8" t="s">
        <x:v>13</x:v>
      </x:c>
      <x:c r="D199" s="8" t="s">
        <x:v>17</x:v>
      </x:c>
      <x:c r="E199" s="8" t="s">
        <x:v>19</x:v>
      </x:c>
      <x:c r="F199" s="24" t="s">
        <x:v>21</x:v>
      </x:c>
      <x:c r="G199" s="8" t="s">
        <x:v>23</x:v>
      </x:c>
      <x:c r="H199" s="8" t="s">
        <x:v>25</x:v>
      </x:c>
      <x:c r="I199" s="8" t="s">
        <x:v>166</x:v>
      </x:c>
      <x:c r="J199" s="8" t="s">
        <x:v>94</x:v>
      </x:c>
      <x:c r="K199" s="8" t="s">
        <x:v>167</x:v>
      </x:c>
    </x:row>
    <x:row r="200" ht="14.25" customHeight="1">
      <x:c r="A200" s="9" t="s">
        <x:v>29</x:v>
      </x:c>
      <x:c r="B200" s="29" t="n">
        <x:f>'Расчёт МАИ'!R44</x:f>
        <x:v>0.3165403954011422</x:v>
      </x:c>
      <x:c r="C200" s="29" t="n">
        <x:f>'Расчёт МАИ'!R66</x:f>
        <x:v>0.18539932161218564</x:v>
      </x:c>
      <x:c r="D200" s="29" t="n">
        <x:f>'Расчёт МАИ'!R88</x:f>
        <x:v>0.2839874673540493</x:v>
      </x:c>
      <x:c r="E200" s="29" t="n">
        <x:f>'Расчёт МАИ'!R110</x:f>
        <x:v>0.054593394328769605</x:v>
      </x:c>
      <x:c r="F200" s="49" t="n">
        <x:f>'Расчёт МАИ'!R132</x:f>
        <x:v>0.34941377816448776</x:v>
      </x:c>
      <x:c r="G200" s="29" t="n">
        <x:f>'Расчёт МАИ'!R154</x:f>
        <x:v>0.2595914110353504</x:v>
      </x:c>
      <x:c r="H200" s="29" t="n">
        <x:f>'Расчёт МАИ'!R176</x:f>
        <x:v>0.16599981397487132</x:v>
      </x:c>
      <x:c r="I200" s="29" t="n">
        <x:f t="shared" ref="I200:I205" si="90">IF(COUNT(B200:H200)&lt;7,"",B200*$R$17+C200*$R$18+D200*$R$19+E200*$R$20+F200*$R$21+G200*$R$22+H200*$R$23)</x:f>
        <x:v>0.2400901799195623</x:v>
      </x:c>
      <x:c r="J200" s="34" t="n">
        <x:f t="shared" ref="J200:J205" si="91">IF(I200="","",RANK(I200,$I$200:$I$205,0))</x:f>
        <x:v>1</x:v>
      </x:c>
      <x:c r="K200" s="34" t="str">
        <x:f t="shared" ref="K200:K205" si="92">IF(I200="","","Рассчитано")</x:f>
        <x:v>Рассчитано</x:v>
      </x:c>
    </x:row>
    <x:row r="201" ht="14.25" customHeight="1">
      <x:c r="A201" s="9" t="s">
        <x:v>31</x:v>
      </x:c>
      <x:c r="B201" s="29" t="n">
        <x:f>'Расчёт МАИ'!R45</x:f>
        <x:v>0.05536833786</x:v>
      </x:c>
      <x:c r="C201" s="29" t="n">
        <x:f>'Расчёт МАИ'!R67</x:f>
        <x:v>0.1342779506</x:v>
      </x:c>
      <x:c r="D201" s="29" t="n">
        <x:f>'Расчёт МАИ'!R89</x:f>
        <x:v>0.05274494514</x:v>
      </x:c>
      <x:c r="E201" s="29" t="n">
        <x:f>'Расчёт МАИ'!R111</x:f>
        <x:v>0.1446320074</x:v>
      </x:c>
      <x:c r="F201" s="49" t="n">
        <x:f>'Расчёт МАИ'!R133</x:f>
        <x:v>0.03036582958</x:v>
      </x:c>
      <x:c r="G201" s="29" t="n">
        <x:f>'Расчёт МАИ'!R155</x:f>
        <x:v>0.04776497057</x:v>
      </x:c>
      <x:c r="H201" s="29" t="n">
        <x:f>'Расчёт МАИ'!R177</x:f>
        <x:v>0.1832070288</x:v>
      </x:c>
      <x:c r="I201" s="29" t="n">
        <x:f t="shared" si="90">IF(COUNT(B201:H201)&lt;7,"",B201*$R$17+C201*$R$18+D201*$R$19+E201*$R$20+F201*$R$21+G201*$R$22+H201*$R$23)</x:f>
        <x:v>0.09031151755635441</x:v>
      </x:c>
      <x:c r="J201" s="34" t="n">
        <x:f t="shared" si="91">IF(I201="","",RANK(I201,$I$200:$I$205,0))</x:f>
        <x:v>6</x:v>
      </x:c>
      <x:c r="K201" s="34" t="str">
        <x:f t="shared" si="92">IF(I201="","","Рассчитано")</x:f>
        <x:v>Рассчитано</x:v>
      </x:c>
    </x:row>
    <x:row r="202" ht="14.25" customHeight="1">
      <x:c r="A202" s="9" t="s">
        <x:v>34</x:v>
      </x:c>
      <x:c r="B202" s="29" t="n">
        <x:f>'Расчёт МАИ'!R46</x:f>
        <x:v>0.2154434569</x:v>
      </x:c>
      <x:c r="C202" s="29" t="n">
        <x:f>'Расчёт МАИ'!R68</x:f>
        <x:v>0.1940454448</x:v>
      </x:c>
      <x:c r="D202" s="29" t="n">
        <x:f>'Расчёт МАИ'!R90</x:f>
        <x:v>0.1841430903</x:v>
      </x:c>
      <x:c r="E202" s="29" t="n">
        <x:f>'Расчёт МАИ'!R112</x:f>
        <x:v>0.1908834851</x:v>
      </x:c>
      <x:c r="F202" s="49" t="n">
        <x:f>'Расчёт МАИ'!R134</x:f>
        <x:v>0.1601993907</x:v>
      </x:c>
      <x:c r="G202" s="29" t="n">
        <x:f>'Расчёт МАИ'!R156</x:f>
        <x:v>0.1400143795</x:v>
      </x:c>
      <x:c r="H202" s="29" t="n">
        <x:f>'Расчёт МАИ'!R178</x:f>
        <x:v>0.1123713561</x:v>
      </x:c>
      <x:c r="I202" s="29" t="n">
        <x:f t="shared" si="90">IF(COUNT(B202:H202)&lt;7,"",B202*$R$17+C202*$R$18+D202*$R$19+E202*$R$20+F202*$R$21+G202*$R$22+H202*$R$23)</x:f>
        <x:v>0.17128038510650423</x:v>
      </x:c>
      <x:c r="J202" s="34" t="n">
        <x:f t="shared" si="91">IF(I202="","",RANK(I202,$I$200:$I$205,0))</x:f>
        <x:v>3</x:v>
      </x:c>
      <x:c r="K202" s="34" t="str">
        <x:f t="shared" si="92">IF(I202="","","Рассчитано")</x:f>
        <x:v>Рассчитано</x:v>
      </x:c>
    </x:row>
    <x:row r="203" ht="14.25" customHeight="1">
      <x:c r="A203" s="9" t="s">
        <x:v>35</x:v>
      </x:c>
      <x:c r="B203" s="29" t="n">
        <x:f>'Расчёт МАИ'!R47</x:f>
        <x:v>0.1027753429</x:v>
      </x:c>
      <x:c r="C203" s="29" t="n">
        <x:f>'Расчёт МАИ'!R69</x:f>
        <x:v>0.1711863279</x:v>
      </x:c>
      <x:c r="D203" s="29" t="n">
        <x:f>'Расчёт МАИ'!R91</x:f>
        <x:v>0.197874628</x:v>
      </x:c>
      <x:c r="E203" s="29" t="n">
        <x:f>'Расчёт МАИ'!R113</x:f>
        <x:v>0.1452413817</x:v>
      </x:c>
      <x:c r="F203" s="49" t="n">
        <x:f>'Расчёт МАИ'!R135</x:f>
        <x:v>0.1496800747</x:v>
      </x:c>
      <x:c r="G203" s="29" t="n">
        <x:f>'Расчёт МАИ'!R157</x:f>
        <x:v>0.2162992861</x:v>
      </x:c>
      <x:c r="H203" s="29" t="n">
        <x:f>'Расчёт МАИ'!R179</x:f>
        <x:v>0.2152751249</x:v>
      </x:c>
      <x:c r="I203" s="29" t="n">
        <x:f t="shared" si="90">IF(COUNT(B203:H203)&lt;7,"",B203*$R$17+C203*$R$18+D203*$R$19+E203*$R$20+F203*$R$21+G203*$R$22+H203*$R$23)</x:f>
        <x:v>0.1710798580298593</x:v>
      </x:c>
      <x:c r="J203" s="34" t="n">
        <x:f t="shared" si="91">IF(I203="","",RANK(I203,$I$200:$I$205,0))</x:f>
        <x:v>4</x:v>
      </x:c>
      <x:c r="K203" s="34" t="str">
        <x:f t="shared" si="92">IF(I203="","","Рассчитано")</x:f>
        <x:v>Рассчитано</x:v>
      </x:c>
    </x:row>
    <x:row r="204" ht="14.25" customHeight="1">
      <x:c r="A204" s="9" t="s">
        <x:v>36</x:v>
      </x:c>
      <x:c r="B204" s="29" t="n">
        <x:f>'Расчёт МАИ'!R48</x:f>
        <x:v>0.2073731264</x:v>
      </x:c>
      <x:c r="C204" s="29" t="n">
        <x:f>'Расчёт МАИ'!R70</x:f>
        <x:v>0.2252938775</x:v>
      </x:c>
      <x:c r="D204" s="29" t="n">
        <x:f>'Расчёт МАИ'!R92</x:f>
        <x:v>0.1922415215</x:v>
      </x:c>
      <x:c r="E204" s="29" t="n">
        <x:f>'Расчёт МАИ'!R114</x:f>
        <x:v>0.2555868756</x:v>
      </x:c>
      <x:c r="F204" s="49" t="n">
        <x:f>'Расчёт МАИ'!R136</x:f>
        <x:v>0.2328416562</x:v>
      </x:c>
      <x:c r="G204" s="29" t="n">
        <x:f>'Расчёт МАИ'!R158</x:f>
        <x:v>0.2736810938</x:v>
      </x:c>
      <x:c r="H204" s="29" t="n">
        <x:f>'Расчёт МАИ'!R180</x:f>
        <x:v>0.2152751249</x:v>
      </x:c>
      <x:c r="I204" s="29" t="n">
        <x:f t="shared" si="90">IF(COUNT(B204:H204)&lt;7,"",B204*$R$17+C204*$R$18+D204*$R$19+E204*$R$20+F204*$R$21+G204*$R$22+H204*$R$23)</x:f>
        <x:v>0.22668200414158252</x:v>
      </x:c>
      <x:c r="J204" s="34" t="n">
        <x:f t="shared" si="91">IF(I204="","",RANK(I204,$I$200:$I$205,0))</x:f>
        <x:v>2</x:v>
      </x:c>
      <x:c r="K204" s="34" t="str">
        <x:f t="shared" si="92">IF(I204="","","Рассчитано")</x:f>
        <x:v>Рассчитано</x:v>
      </x:c>
    </x:row>
    <x:row r="205" ht="14.25" customHeight="1">
      <x:c r="A205" s="9" t="s">
        <x:v>37</x:v>
      </x:c>
      <x:c r="B205" s="29" t="n">
        <x:f>'Расчёт МАИ'!R49</x:f>
        <x:v>0.1024993404</x:v>
      </x:c>
      <x:c r="C205" s="29" t="n">
        <x:f>'Расчёт МАИ'!R71</x:f>
        <x:v>0.08979707762</x:v>
      </x:c>
      <x:c r="D205" s="29" t="n">
        <x:f>'Расчёт МАИ'!R93</x:f>
        <x:v>0.08900834766</x:v>
      </x:c>
      <x:c r="E205" s="29" t="n">
        <x:f>'Расчёт МАИ'!R115</x:f>
        <x:v>0.2090628559</x:v>
      </x:c>
      <x:c r="F205" s="49" t="n">
        <x:f>'Расчёт МАИ'!R137</x:f>
        <x:v>0.07749927061</x:v>
      </x:c>
      <x:c r="G205" s="29" t="n">
        <x:f>'Расчёт МАИ'!R159</x:f>
        <x:v>0.06264885901</x:v>
      </x:c>
      <x:c r="H205" s="29" t="n">
        <x:f>'Расчёт МАИ'!R181</x:f>
        <x:v>0.1078715514</x:v>
      </x:c>
      <x:c r="I205" s="29" t="n">
        <x:f t="shared" si="90">IF(COUNT(B205:H205)&lt;7,"",B205*$R$17+C205*$R$18+D205*$R$19+E205*$R$20+F205*$R$21+G205*$R$22+H205*$R$23)</x:f>
        <x:v>0.10055605519899727</x:v>
      </x:c>
      <x:c r="J205" s="34" t="n">
        <x:f t="shared" si="91">IF(I205="","",RANK(I205,$I$200:$I$205,0))</x:f>
        <x:v>5</x:v>
      </x:c>
      <x:c r="K205" s="34" t="str">
        <x:f t="shared" si="92">IF(I205="","","Рассчитано")</x:f>
        <x:v>Рассчитано</x:v>
      </x:c>
    </x:row>
    <x:row r="206" ht="14.25" customHeight="1">
      <x:c r="F206" s="12"/>
    </x:row>
    <x:row r="207" ht="14.25" customHeight="1">
      <x:c r="F207" s="12"/>
    </x:row>
    <x:row r="208" ht="14.25" customHeight="1">
      <x:c r="A208" s="5" t="s">
        <x:v>168</x:v>
      </x:c>
      <x:c r="B208" s="6"/>
      <x:c r="C208" s="6"/>
      <x:c r="D208" s="7"/>
      <x:c r="F208" s="12"/>
    </x:row>
    <x:row r="209" ht="14.25" customHeight="1">
      <x:c r="A209" s="8" t="s">
        <x:v>169</x:v>
      </x:c>
      <x:c r="B209" s="8" t="s">
        <x:v>146</x:v>
      </x:c>
      <x:c r="C209" s="8" t="s">
        <x:v>170</x:v>
      </x:c>
      <x:c r="D209" s="8" t="s">
        <x:v>167</x:v>
      </x:c>
      <x:c r="F209" s="12"/>
    </x:row>
    <x:row r="210" ht="14.25" customHeight="1">
      <x:c r="A210" s="9" t="s">
        <x:v>171</x:v>
      </x:c>
      <x:c r="B210" s="50" t="n">
        <x:f>R28</x:f>
        <x:v>0.004953684522980744</x:v>
      </x:c>
      <x:c r="C210" s="9" t="s">
        <x:v>172</x:v>
      </x:c>
      <x:c r="D210" s="9" t="str">
        <x:f t="shared" ref="D210:D217" si="93">IF(B210="","",IF(B210&lt;=0.1,"OK","Проверить оценки"))</x:f>
        <x:v>OK</x:v>
      </x:c>
      <x:c r="F210" s="12"/>
    </x:row>
    <x:row r="211" ht="14.25" customHeight="1">
      <x:c r="A211" s="9" t="s">
        <x:v>173</x:v>
      </x:c>
      <x:c r="B211" s="50" t="n">
        <x:f>'Расчёт МАИ'!R54</x:f>
        <x:v>0.0022218332016691934</x:v>
      </x:c>
      <x:c r="C211" s="9" t="s">
        <x:v>172</x:v>
      </x:c>
      <x:c r="D211" s="9" t="str">
        <x:f t="shared" si="93">IF(B211="","",IF(B211&lt;=0.1,"OK","Проверить оценки"))</x:f>
        <x:v>OK</x:v>
      </x:c>
      <x:c r="F211" s="12"/>
    </x:row>
    <x:row r="212" ht="14.25" customHeight="1">
      <x:c r="A212" s="9" t="s">
        <x:v>174</x:v>
      </x:c>
      <x:c r="B212" s="50" t="n">
        <x:f>'Расчёт МАИ'!R76</x:f>
        <x:v>0.0032872770938060262</x:v>
      </x:c>
      <x:c r="C212" s="9" t="s">
        <x:v>172</x:v>
      </x:c>
      <x:c r="D212" s="9" t="str">
        <x:f t="shared" si="93">IF(B212="","",IF(B212&lt;=0.1,"OK","Проверить оценки"))</x:f>
        <x:v>OK</x:v>
      </x:c>
      <x:c r="F212" s="12"/>
    </x:row>
    <x:row r="213" ht="14.25" customHeight="1">
      <x:c r="A213" s="9" t="s">
        <x:v>175</x:v>
      </x:c>
      <x:c r="B213" s="50" t="n">
        <x:f>'Расчёт МАИ'!R98</x:f>
        <x:v>0.0038952359090274344</x:v>
      </x:c>
      <x:c r="C213" s="9" t="s">
        <x:v>172</x:v>
      </x:c>
      <x:c r="D213" s="9" t="str">
        <x:f t="shared" si="93">IF(B213="","",IF(B213&lt;=0.1,"OK","Проверить оценки"))</x:f>
        <x:v>OK</x:v>
      </x:c>
      <x:c r="F213" s="12"/>
    </x:row>
    <x:row r="214" ht="14.25" customHeight="1">
      <x:c r="A214" s="9" t="s">
        <x:v>176</x:v>
      </x:c>
      <x:c r="B214" s="50" t="n">
        <x:f>'Расчёт МАИ'!R120</x:f>
        <x:v>0.02899782206702785</x:v>
      </x:c>
      <x:c r="C214" s="9" t="s">
        <x:v>172</x:v>
      </x:c>
      <x:c r="D214" s="9" t="str">
        <x:f t="shared" si="93">IF(B214="","",IF(B214&lt;=0.1,"OK","Проверить оценки"))</x:f>
        <x:v>OK</x:v>
      </x:c>
      <x:c r="F214" s="12"/>
    </x:row>
    <x:row r="215" ht="14.25" customHeight="1">
      <x:c r="A215" s="9" t="s">
        <x:v>177</x:v>
      </x:c>
      <x:c r="B215" s="50" t="n">
        <x:f>'Расчёт МАИ'!R142</x:f>
        <x:v>0.010556128809487867</x:v>
      </x:c>
      <x:c r="C215" s="9" t="s">
        <x:v>172</x:v>
      </x:c>
      <x:c r="D215" s="9" t="str">
        <x:f t="shared" si="93">IF(B215="","",IF(B215&lt;=0.1,"OK","Проверить оценки"))</x:f>
        <x:v>OK</x:v>
      </x:c>
      <x:c r="F215" s="12"/>
    </x:row>
    <x:row r="216" ht="14.25" customHeight="1">
      <x:c r="A216" s="9" t="s">
        <x:v>178</x:v>
      </x:c>
      <x:c r="B216" s="50" t="n">
        <x:f>'Расчёт МАИ'!R164</x:f>
        <x:v>0.005879134943804335</x:v>
      </x:c>
      <x:c r="C216" s="9" t="s">
        <x:v>172</x:v>
      </x:c>
      <x:c r="D216" s="9" t="str">
        <x:f t="shared" si="93">IF(B216="","",IF(B216&lt;=0.1,"OK","Проверить оценки"))</x:f>
        <x:v>OK</x:v>
      </x:c>
      <x:c r="F216" s="12"/>
    </x:row>
    <x:row r="217" ht="14.25" customHeight="1">
      <x:c r="A217" s="9" t="s">
        <x:v>179</x:v>
      </x:c>
      <x:c r="B217" s="50" t="n">
        <x:f>'Расчёт МАИ'!R186</x:f>
        <x:v>0.002970750790113366</x:v>
      </x:c>
      <x:c r="C217" s="9" t="s">
        <x:v>172</x:v>
      </x:c>
      <x:c r="D217" s="9" t="str">
        <x:f t="shared" si="93">IF(B217="","",IF(B217&lt;=0.1,"OK","Проверить оценки"))</x:f>
        <x:v>OK</x:v>
      </x:c>
      <x:c r="F217" s="12"/>
    </x:row>
    <x:row r="218" ht="14.25" customHeight="1">
      <x:c r="F218" s="12"/>
    </x:row>
    <x:row r="219" ht="14.25" customHeight="1">
      <x:c r="F219" s="12"/>
    </x:row>
    <x:row r="220" ht="14.25" customHeight="1">
      <x:c r="F220" s="12"/>
    </x:row>
    <x:row r="221" ht="14.25" customHeight="1">
      <x:c r="F221" s="12"/>
    </x:row>
    <x:row r="222" ht="14.25" customHeight="1">
      <x:c r="F222" s="12"/>
    </x:row>
    <x:row r="223" ht="14.25" customHeight="1">
      <x:c r="F223" s="12"/>
    </x:row>
    <x:row r="224" ht="14.25" customHeight="1">
      <x:c r="F224" s="12"/>
    </x:row>
    <x:row r="225" ht="14.25" customHeight="1">
      <x:c r="F225" s="12"/>
    </x:row>
    <x:row r="226" ht="14.25" customHeight="1">
      <x:c r="F226" s="12"/>
    </x:row>
    <x:row r="227" ht="14.25" customHeight="1">
      <x:c r="F227" s="12"/>
    </x:row>
    <x:row r="228" ht="14.25" customHeight="1">
      <x:c r="F228" s="12"/>
    </x:row>
    <x:row r="229" ht="14.25" customHeight="1">
      <x:c r="F229" s="12"/>
    </x:row>
    <x:row r="230" ht="14.25" customHeight="1">
      <x:c r="F230" s="12"/>
    </x:row>
    <x:row r="231" ht="14.25" customHeight="1">
      <x:c r="F231" s="12"/>
    </x:row>
    <x:row r="232" ht="14.25" customHeight="1">
      <x:c r="F232" s="12"/>
    </x:row>
    <x:row r="233" ht="14.25" customHeight="1">
      <x:c r="F233" s="12"/>
    </x:row>
    <x:row r="234" ht="14.25" customHeight="1">
      <x:c r="F234" s="12"/>
    </x:row>
    <x:row r="235" ht="14.25" customHeight="1">
      <x:c r="F235" s="12"/>
    </x:row>
    <x:row r="236" ht="14.25" customHeight="1">
      <x:c r="F236" s="12"/>
    </x:row>
    <x:row r="237" ht="14.25" customHeight="1">
      <x:c r="F237" s="12"/>
    </x:row>
    <x:row r="238" ht="14.25" customHeight="1">
      <x:c r="F238" s="12"/>
    </x:row>
    <x:row r="239" ht="14.25" customHeight="1">
      <x:c r="F239" s="12"/>
    </x:row>
    <x:row r="240" ht="14.25" customHeight="1">
      <x:c r="F240" s="12"/>
    </x:row>
    <x:row r="241" ht="14.25" customHeight="1">
      <x:c r="F241" s="12"/>
    </x:row>
    <x:row r="242" ht="14.25" customHeight="1">
      <x:c r="F242" s="12"/>
    </x:row>
    <x:row r="243" ht="14.25" customHeight="1">
      <x:c r="F243" s="12"/>
    </x:row>
    <x:row r="244" ht="14.25" customHeight="1">
      <x:c r="F244" s="12"/>
    </x:row>
    <x:row r="245" ht="14.25" customHeight="1">
      <x:c r="F245" s="12"/>
    </x:row>
    <x:row r="246" ht="14.25" customHeight="1">
      <x:c r="F246" s="12"/>
    </x:row>
    <x:row r="247" ht="14.25" customHeight="1">
      <x:c r="F247" s="12"/>
    </x:row>
    <x:row r="248" ht="14.25" customHeight="1">
      <x:c r="F248" s="12"/>
    </x:row>
    <x:row r="249" ht="14.25" customHeight="1">
      <x:c r="F249" s="12"/>
    </x:row>
    <x:row r="250" ht="14.25" customHeight="1">
      <x:c r="F250" s="12"/>
    </x:row>
    <x:row r="251" ht="14.25" customHeight="1">
      <x:c r="F251" s="12"/>
    </x:row>
    <x:row r="252" ht="14.25" customHeight="1">
      <x:c r="F252" s="12"/>
    </x:row>
    <x:row r="253" ht="14.25" customHeight="1">
      <x:c r="F253" s="12"/>
    </x:row>
    <x:row r="254" ht="14.25" customHeight="1">
      <x:c r="F254" s="12"/>
    </x:row>
    <x:row r="255" ht="14.25" customHeight="1">
      <x:c r="F255" s="12"/>
    </x:row>
    <x:row r="256" ht="14.25" customHeight="1">
      <x:c r="F256" s="12"/>
    </x:row>
    <x:row r="257" ht="14.25" customHeight="1">
      <x:c r="F257" s="12"/>
    </x:row>
    <x:row r="258" ht="14.25" customHeight="1">
      <x:c r="F258" s="12"/>
    </x:row>
    <x:row r="259" ht="14.25" customHeight="1">
      <x:c r="F259" s="12"/>
    </x:row>
    <x:row r="260" ht="14.25" customHeight="1">
      <x:c r="F260" s="12"/>
    </x:row>
    <x:row r="261" ht="14.25" customHeight="1">
      <x:c r="F261" s="12"/>
    </x:row>
    <x:row r="262" ht="14.25" customHeight="1">
      <x:c r="F262" s="12"/>
    </x:row>
    <x:row r="263" ht="14.25" customHeight="1">
      <x:c r="F263" s="12"/>
    </x:row>
    <x:row r="264" ht="14.25" customHeight="1">
      <x:c r="F264" s="12"/>
    </x:row>
    <x:row r="265" ht="14.25" customHeight="1">
      <x:c r="F265" s="12"/>
    </x:row>
    <x:row r="266" ht="14.25" customHeight="1">
      <x:c r="F266" s="12"/>
    </x:row>
    <x:row r="267" ht="14.25" customHeight="1">
      <x:c r="F267" s="12"/>
    </x:row>
    <x:row r="268" ht="14.25" customHeight="1">
      <x:c r="F268" s="12"/>
    </x:row>
    <x:row r="269" ht="14.25" customHeight="1">
      <x:c r="F269" s="12"/>
    </x:row>
    <x:row r="270" ht="14.25" customHeight="1">
      <x:c r="F270" s="12"/>
    </x:row>
    <x:row r="271" ht="14.25" customHeight="1">
      <x:c r="F271" s="12"/>
    </x:row>
    <x:row r="272" ht="14.25" customHeight="1">
      <x:c r="F272" s="12"/>
    </x:row>
    <x:row r="273" ht="14.25" customHeight="1">
      <x:c r="F273" s="12"/>
    </x:row>
    <x:row r="274" ht="14.25" customHeight="1">
      <x:c r="F274" s="12"/>
    </x:row>
    <x:row r="275" ht="14.25" customHeight="1">
      <x:c r="F275" s="12"/>
    </x:row>
    <x:row r="276" ht="14.25" customHeight="1">
      <x:c r="F276" s="12"/>
    </x:row>
    <x:row r="277" ht="14.25" customHeight="1">
      <x:c r="F277" s="12"/>
    </x:row>
    <x:row r="278" ht="14.25" customHeight="1">
      <x:c r="F278" s="12"/>
    </x:row>
    <x:row r="279" ht="14.25" customHeight="1">
      <x:c r="F279" s="12"/>
    </x:row>
    <x:row r="280" ht="14.25" customHeight="1">
      <x:c r="F280" s="12"/>
    </x:row>
    <x:row r="281" ht="14.25" customHeight="1">
      <x:c r="F281" s="12"/>
    </x:row>
    <x:row r="282" ht="14.25" customHeight="1">
      <x:c r="F282" s="12"/>
    </x:row>
    <x:row r="283" ht="14.25" customHeight="1">
      <x:c r="F283" s="12"/>
    </x:row>
    <x:row r="284" ht="14.25" customHeight="1">
      <x:c r="F284" s="12"/>
    </x:row>
    <x:row r="285" ht="14.25" customHeight="1">
      <x:c r="F285" s="12"/>
    </x:row>
    <x:row r="286" ht="14.25" customHeight="1">
      <x:c r="F286" s="12"/>
    </x:row>
    <x:row r="287" ht="14.25" customHeight="1">
      <x:c r="F287" s="12"/>
    </x:row>
    <x:row r="288" ht="14.25" customHeight="1">
      <x:c r="F288" s="12"/>
    </x:row>
    <x:row r="289" ht="14.25" customHeight="1">
      <x:c r="F289" s="12"/>
    </x:row>
    <x:row r="290" ht="14.25" customHeight="1">
      <x:c r="F290" s="12"/>
    </x:row>
    <x:row r="291" ht="14.25" customHeight="1">
      <x:c r="F291" s="12"/>
    </x:row>
    <x:row r="292" ht="14.25" customHeight="1">
      <x:c r="F292" s="12"/>
    </x:row>
    <x:row r="293" ht="14.25" customHeight="1">
      <x:c r="F293" s="12"/>
    </x:row>
    <x:row r="294" ht="14.25" customHeight="1">
      <x:c r="F294" s="12"/>
    </x:row>
    <x:row r="295" ht="14.25" customHeight="1">
      <x:c r="F295" s="12"/>
    </x:row>
    <x:row r="296" ht="14.25" customHeight="1">
      <x:c r="F296" s="12"/>
    </x:row>
    <x:row r="297" ht="14.25" customHeight="1">
      <x:c r="F297" s="12"/>
    </x:row>
    <x:row r="298" ht="14.25" customHeight="1">
      <x:c r="F298" s="12"/>
    </x:row>
    <x:row r="299" ht="14.25" customHeight="1">
      <x:c r="F299" s="12"/>
    </x:row>
    <x:row r="300" ht="14.25" customHeight="1">
      <x:c r="F300" s="12"/>
    </x:row>
    <x:row r="301" ht="14.25" customHeight="1">
      <x:c r="F301" s="12"/>
    </x:row>
    <x:row r="302" ht="14.25" customHeight="1">
      <x:c r="F302" s="12"/>
    </x:row>
    <x:row r="303" ht="14.25" customHeight="1">
      <x:c r="F303" s="12"/>
    </x:row>
    <x:row r="304" ht="14.25" customHeight="1">
      <x:c r="F304" s="12"/>
    </x:row>
    <x:row r="305" ht="14.25" customHeight="1">
      <x:c r="F305" s="12"/>
    </x:row>
    <x:row r="306" ht="14.25" customHeight="1">
      <x:c r="F306" s="12"/>
    </x:row>
    <x:row r="307" ht="14.25" customHeight="1">
      <x:c r="F307" s="12"/>
    </x:row>
    <x:row r="308" ht="14.25" customHeight="1">
      <x:c r="F308" s="12"/>
    </x:row>
    <x:row r="309" ht="14.25" customHeight="1">
      <x:c r="F309" s="12"/>
    </x:row>
    <x:row r="310" ht="14.25" customHeight="1">
      <x:c r="F310" s="12"/>
    </x:row>
    <x:row r="311" ht="14.25" customHeight="1">
      <x:c r="F311" s="12"/>
    </x:row>
    <x:row r="312" ht="14.25" customHeight="1">
      <x:c r="F312" s="12"/>
    </x:row>
    <x:row r="313" ht="14.25" customHeight="1">
      <x:c r="F313" s="12"/>
    </x:row>
    <x:row r="314" ht="14.25" customHeight="1">
      <x:c r="F314" s="12"/>
    </x:row>
    <x:row r="315" ht="14.25" customHeight="1">
      <x:c r="F315" s="12"/>
    </x:row>
    <x:row r="316" ht="14.25" customHeight="1">
      <x:c r="F316" s="12"/>
    </x:row>
    <x:row r="317" ht="14.25" customHeight="1">
      <x:c r="F317" s="12"/>
    </x:row>
    <x:row r="318" ht="14.25" customHeight="1">
      <x:c r="F318" s="12"/>
    </x:row>
    <x:row r="319" ht="14.25" customHeight="1">
      <x:c r="F319" s="12"/>
    </x:row>
    <x:row r="320" ht="14.25" customHeight="1">
      <x:c r="F320" s="12"/>
    </x:row>
    <x:row r="321" ht="14.25" customHeight="1">
      <x:c r="F321" s="12"/>
    </x:row>
    <x:row r="322" ht="14.25" customHeight="1">
      <x:c r="F322" s="12"/>
    </x:row>
    <x:row r="323" ht="14.25" customHeight="1">
      <x:c r="F323" s="12"/>
    </x:row>
    <x:row r="324" ht="14.25" customHeight="1">
      <x:c r="F324" s="12"/>
    </x:row>
    <x:row r="325" ht="14.25" customHeight="1">
      <x:c r="F325" s="12"/>
    </x:row>
    <x:row r="326" ht="14.25" customHeight="1">
      <x:c r="F326" s="12"/>
    </x:row>
    <x:row r="327" ht="14.25" customHeight="1">
      <x:c r="F327" s="12"/>
    </x:row>
    <x:row r="328" ht="14.25" customHeight="1">
      <x:c r="F328" s="12"/>
    </x:row>
    <x:row r="329" ht="14.25" customHeight="1">
      <x:c r="F329" s="12"/>
    </x:row>
    <x:row r="330" ht="14.25" customHeight="1">
      <x:c r="F330" s="12"/>
    </x:row>
    <x:row r="331" ht="14.25" customHeight="1">
      <x:c r="F331" s="12"/>
    </x:row>
    <x:row r="332" ht="14.25" customHeight="1">
      <x:c r="F332" s="12"/>
    </x:row>
    <x:row r="333" ht="14.25" customHeight="1">
      <x:c r="F333" s="12"/>
    </x:row>
    <x:row r="334" ht="14.25" customHeight="1">
      <x:c r="F334" s="12"/>
    </x:row>
    <x:row r="335" ht="14.25" customHeight="1">
      <x:c r="F335" s="12"/>
    </x:row>
    <x:row r="336" ht="14.25" customHeight="1">
      <x:c r="F336" s="12"/>
    </x:row>
    <x:row r="337" ht="14.25" customHeight="1">
      <x:c r="F337" s="12"/>
    </x:row>
    <x:row r="338" ht="14.25" customHeight="1">
      <x:c r="F338" s="12"/>
    </x:row>
    <x:row r="339" ht="14.25" customHeight="1">
      <x:c r="F339" s="12"/>
    </x:row>
    <x:row r="340" ht="14.25" customHeight="1">
      <x:c r="F340" s="12"/>
    </x:row>
    <x:row r="341" ht="14.25" customHeight="1">
      <x:c r="F341" s="12"/>
    </x:row>
    <x:row r="342" ht="14.25" customHeight="1">
      <x:c r="F342" s="12"/>
    </x:row>
    <x:row r="343" ht="14.25" customHeight="1">
      <x:c r="F343" s="12"/>
    </x:row>
    <x:row r="344" ht="14.25" customHeight="1">
      <x:c r="F344" s="12"/>
    </x:row>
    <x:row r="345" ht="14.25" customHeight="1">
      <x:c r="F345" s="12"/>
    </x:row>
    <x:row r="346" ht="14.25" customHeight="1">
      <x:c r="F346" s="12"/>
    </x:row>
    <x:row r="347" ht="14.25" customHeight="1">
      <x:c r="F347" s="12"/>
    </x:row>
    <x:row r="348" ht="14.25" customHeight="1">
      <x:c r="F348" s="12"/>
    </x:row>
    <x:row r="349" ht="14.25" customHeight="1">
      <x:c r="F349" s="12"/>
    </x:row>
    <x:row r="350" ht="14.25" customHeight="1">
      <x:c r="F350" s="12"/>
    </x:row>
    <x:row r="351" ht="14.25" customHeight="1">
      <x:c r="F351" s="12"/>
    </x:row>
    <x:row r="352" ht="14.25" customHeight="1">
      <x:c r="F352" s="12"/>
    </x:row>
    <x:row r="353" ht="14.25" customHeight="1">
      <x:c r="F353" s="12"/>
    </x:row>
    <x:row r="354" ht="14.25" customHeight="1">
      <x:c r="F354" s="12"/>
    </x:row>
    <x:row r="355" ht="14.25" customHeight="1">
      <x:c r="F355" s="12"/>
    </x:row>
    <x:row r="356" ht="14.25" customHeight="1">
      <x:c r="F356" s="12"/>
    </x:row>
    <x:row r="357" ht="14.25" customHeight="1">
      <x:c r="F357" s="12"/>
    </x:row>
    <x:row r="358" ht="14.25" customHeight="1">
      <x:c r="F358" s="12"/>
    </x:row>
    <x:row r="359" ht="14.25" customHeight="1">
      <x:c r="F359" s="12"/>
    </x:row>
    <x:row r="360" ht="14.25" customHeight="1">
      <x:c r="F360" s="12"/>
    </x:row>
    <x:row r="361" ht="14.25" customHeight="1">
      <x:c r="F361" s="12"/>
    </x:row>
    <x:row r="362" ht="14.25" customHeight="1">
      <x:c r="F362" s="12"/>
    </x:row>
    <x:row r="363" ht="14.25" customHeight="1">
      <x:c r="F363" s="12"/>
    </x:row>
    <x:row r="364" ht="14.25" customHeight="1">
      <x:c r="F364" s="12"/>
    </x:row>
    <x:row r="365" ht="14.25" customHeight="1">
      <x:c r="F365" s="12"/>
    </x:row>
    <x:row r="366" ht="14.25" customHeight="1">
      <x:c r="F366" s="12"/>
    </x:row>
    <x:row r="367" ht="14.25" customHeight="1">
      <x:c r="F367" s="12"/>
    </x:row>
    <x:row r="368" ht="14.25" customHeight="1">
      <x:c r="F368" s="12"/>
    </x:row>
    <x:row r="369" ht="14.25" customHeight="1">
      <x:c r="F369" s="12"/>
    </x:row>
    <x:row r="370" ht="14.25" customHeight="1">
      <x:c r="F370" s="12"/>
    </x:row>
    <x:row r="371" ht="14.25" customHeight="1">
      <x:c r="F371" s="12"/>
    </x:row>
    <x:row r="372" ht="14.25" customHeight="1">
      <x:c r="F372" s="12"/>
    </x:row>
    <x:row r="373" ht="14.25" customHeight="1">
      <x:c r="F373" s="12"/>
    </x:row>
    <x:row r="374" ht="14.25" customHeight="1">
      <x:c r="F374" s="12"/>
    </x:row>
    <x:row r="375" ht="14.25" customHeight="1">
      <x:c r="F375" s="12"/>
    </x:row>
    <x:row r="376" ht="14.25" customHeight="1">
      <x:c r="F376" s="12"/>
    </x:row>
    <x:row r="377" ht="14.25" customHeight="1">
      <x:c r="F377" s="12"/>
    </x:row>
    <x:row r="378" ht="14.25" customHeight="1">
      <x:c r="F378" s="12"/>
    </x:row>
    <x:row r="379" ht="14.25" customHeight="1">
      <x:c r="F379" s="12"/>
    </x:row>
    <x:row r="380" ht="14.25" customHeight="1">
      <x:c r="F380" s="12"/>
    </x:row>
    <x:row r="381" ht="14.25" customHeight="1">
      <x:c r="F381" s="12"/>
    </x:row>
    <x:row r="382" ht="14.25" customHeight="1">
      <x:c r="F382" s="12"/>
    </x:row>
    <x:row r="383" ht="14.25" customHeight="1">
      <x:c r="F383" s="12"/>
    </x:row>
    <x:row r="384" ht="14.25" customHeight="1">
      <x:c r="F384" s="12"/>
    </x:row>
    <x:row r="385" ht="14.25" customHeight="1">
      <x:c r="F385" s="12"/>
    </x:row>
    <x:row r="386" ht="14.25" customHeight="1">
      <x:c r="F386" s="12"/>
    </x:row>
    <x:row r="387" ht="14.25" customHeight="1">
      <x:c r="F387" s="12"/>
    </x:row>
    <x:row r="388" ht="14.25" customHeight="1">
      <x:c r="F388" s="12"/>
    </x:row>
    <x:row r="389" ht="14.25" customHeight="1">
      <x:c r="F389" s="12"/>
    </x:row>
    <x:row r="390" ht="14.25" customHeight="1">
      <x:c r="F390" s="12"/>
    </x:row>
    <x:row r="391" ht="14.25" customHeight="1">
      <x:c r="F391" s="12"/>
    </x:row>
    <x:row r="392" ht="14.25" customHeight="1">
      <x:c r="F392" s="12"/>
    </x:row>
    <x:row r="393" ht="14.25" customHeight="1">
      <x:c r="F393" s="12"/>
    </x:row>
    <x:row r="394" ht="14.25" customHeight="1">
      <x:c r="F394" s="12"/>
    </x:row>
    <x:row r="395" ht="14.25" customHeight="1">
      <x:c r="F395" s="12"/>
    </x:row>
    <x:row r="396" ht="14.25" customHeight="1">
      <x:c r="F396" s="12"/>
    </x:row>
    <x:row r="397" ht="14.25" customHeight="1">
      <x:c r="F397" s="12"/>
    </x:row>
    <x:row r="398" ht="14.25" customHeight="1">
      <x:c r="F398" s="12"/>
    </x:row>
    <x:row r="399" ht="14.25" customHeight="1">
      <x:c r="F399" s="12"/>
    </x:row>
    <x:row r="400" ht="14.25" customHeight="1">
      <x:c r="F400" s="12"/>
    </x:row>
    <x:row r="401" ht="14.25" customHeight="1">
      <x:c r="F401" s="12"/>
    </x:row>
    <x:row r="402" ht="14.25" customHeight="1">
      <x:c r="F402" s="12"/>
    </x:row>
    <x:row r="403" ht="14.25" customHeight="1">
      <x:c r="F403" s="12"/>
    </x:row>
    <x:row r="404" ht="14.25" customHeight="1">
      <x:c r="F404" s="12"/>
    </x:row>
    <x:row r="405" ht="14.25" customHeight="1">
      <x:c r="F405" s="12"/>
    </x:row>
    <x:row r="406" ht="14.25" customHeight="1">
      <x:c r="F406" s="12"/>
    </x:row>
    <x:row r="407" ht="14.25" customHeight="1">
      <x:c r="F407" s="12"/>
    </x:row>
    <x:row r="408" ht="14.25" customHeight="1">
      <x:c r="F408" s="12"/>
    </x:row>
    <x:row r="409" ht="14.25" customHeight="1">
      <x:c r="F409" s="12"/>
    </x:row>
    <x:row r="410" ht="14.25" customHeight="1">
      <x:c r="F410" s="12"/>
    </x:row>
    <x:row r="411" ht="14.25" customHeight="1">
      <x:c r="F411" s="12"/>
    </x:row>
    <x:row r="412" ht="14.25" customHeight="1">
      <x:c r="F412" s="12"/>
    </x:row>
    <x:row r="413" ht="14.25" customHeight="1">
      <x:c r="F413" s="12"/>
    </x:row>
    <x:row r="414" ht="14.25" customHeight="1">
      <x:c r="F414" s="12"/>
    </x:row>
    <x:row r="415" ht="14.25" customHeight="1">
      <x:c r="F415" s="12"/>
    </x:row>
    <x:row r="416" ht="14.25" customHeight="1">
      <x:c r="F416" s="12"/>
    </x:row>
    <x:row r="417" ht="14.25" customHeight="1">
      <x:c r="F417" s="12"/>
    </x:row>
    <x:row r="418" ht="14.25" customHeight="1">
      <x:c r="F418" s="12"/>
    </x:row>
    <x:row r="419" ht="14.25" customHeight="1">
      <x:c r="F419" s="12"/>
    </x:row>
    <x:row r="420" ht="14.25" customHeight="1">
      <x:c r="F420" s="12"/>
    </x:row>
    <x:row r="421" ht="14.25" customHeight="1">
      <x:c r="F421" s="12"/>
    </x:row>
    <x:row r="422" ht="14.25" customHeight="1">
      <x:c r="F422" s="12"/>
    </x:row>
    <x:row r="423" ht="14.25" customHeight="1">
      <x:c r="F423" s="12"/>
    </x:row>
    <x:row r="424" ht="14.25" customHeight="1">
      <x:c r="F424" s="12"/>
    </x:row>
    <x:row r="425" ht="14.25" customHeight="1">
      <x:c r="F425" s="12"/>
    </x:row>
    <x:row r="426" ht="14.25" customHeight="1">
      <x:c r="F426" s="12"/>
    </x:row>
    <x:row r="427" ht="14.25" customHeight="1">
      <x:c r="F427" s="12"/>
    </x:row>
    <x:row r="428" ht="14.25" customHeight="1">
      <x:c r="F428" s="12"/>
    </x:row>
    <x:row r="429" ht="14.25" customHeight="1">
      <x:c r="F429" s="12"/>
    </x:row>
    <x:row r="430" ht="14.25" customHeight="1">
      <x:c r="F430" s="12"/>
    </x:row>
    <x:row r="431" ht="14.25" customHeight="1">
      <x:c r="F431" s="12"/>
    </x:row>
    <x:row r="432" ht="14.25" customHeight="1">
      <x:c r="F432" s="12"/>
    </x:row>
    <x:row r="433" ht="14.25" customHeight="1">
      <x:c r="F433" s="12"/>
    </x:row>
    <x:row r="434" ht="14.25" customHeight="1">
      <x:c r="F434" s="12"/>
    </x:row>
    <x:row r="435" ht="14.25" customHeight="1">
      <x:c r="F435" s="12"/>
    </x:row>
    <x:row r="436" ht="14.25" customHeight="1">
      <x:c r="F436" s="12"/>
    </x:row>
    <x:row r="437" ht="14.25" customHeight="1">
      <x:c r="F437" s="12"/>
    </x:row>
    <x:row r="438" ht="14.25" customHeight="1">
      <x:c r="F438" s="12"/>
    </x:row>
    <x:row r="439" ht="14.25" customHeight="1">
      <x:c r="F439" s="12"/>
    </x:row>
    <x:row r="440" ht="14.25" customHeight="1">
      <x:c r="F440" s="12"/>
    </x:row>
    <x:row r="441" ht="14.25" customHeight="1">
      <x:c r="F441" s="12"/>
    </x:row>
    <x:row r="442" ht="14.25" customHeight="1">
      <x:c r="F442" s="12"/>
    </x:row>
    <x:row r="443" ht="14.25" customHeight="1">
      <x:c r="F443" s="12"/>
    </x:row>
    <x:row r="444" ht="14.25" customHeight="1">
      <x:c r="F444" s="12"/>
    </x:row>
    <x:row r="445" ht="14.25" customHeight="1">
      <x:c r="F445" s="12"/>
    </x:row>
    <x:row r="446" ht="14.25" customHeight="1">
      <x:c r="F446" s="12"/>
    </x:row>
    <x:row r="447" ht="14.25" customHeight="1">
      <x:c r="F447" s="12"/>
    </x:row>
    <x:row r="448" ht="14.25" customHeight="1">
      <x:c r="F448" s="12"/>
    </x:row>
    <x:row r="449" ht="14.25" customHeight="1">
      <x:c r="F449" s="12"/>
    </x:row>
    <x:row r="450" ht="14.25" customHeight="1">
      <x:c r="F450" s="12"/>
    </x:row>
    <x:row r="451" ht="14.25" customHeight="1">
      <x:c r="F451" s="12"/>
    </x:row>
    <x:row r="452" ht="14.25" customHeight="1">
      <x:c r="F452" s="12"/>
    </x:row>
    <x:row r="453" ht="14.25" customHeight="1">
      <x:c r="F453" s="12"/>
    </x:row>
    <x:row r="454" ht="14.25" customHeight="1">
      <x:c r="F454" s="12"/>
    </x:row>
    <x:row r="455" ht="14.25" customHeight="1">
      <x:c r="F455" s="12"/>
    </x:row>
    <x:row r="456" ht="14.25" customHeight="1">
      <x:c r="F456" s="12"/>
    </x:row>
    <x:row r="457" ht="14.25" customHeight="1">
      <x:c r="F457" s="12"/>
    </x:row>
    <x:row r="458" ht="14.25" customHeight="1">
      <x:c r="F458" s="12"/>
    </x:row>
    <x:row r="459" ht="14.25" customHeight="1">
      <x:c r="F459" s="12"/>
    </x:row>
    <x:row r="460" ht="14.25" customHeight="1">
      <x:c r="F460" s="12"/>
    </x:row>
    <x:row r="461" ht="14.25" customHeight="1">
      <x:c r="F461" s="12"/>
    </x:row>
    <x:row r="462" ht="14.25" customHeight="1">
      <x:c r="F462" s="12"/>
    </x:row>
    <x:row r="463" ht="14.25" customHeight="1">
      <x:c r="F463" s="12"/>
    </x:row>
    <x:row r="464" ht="14.25" customHeight="1">
      <x:c r="F464" s="12"/>
    </x:row>
    <x:row r="465" ht="14.25" customHeight="1">
      <x:c r="F465" s="12"/>
    </x:row>
    <x:row r="466" ht="14.25" customHeight="1">
      <x:c r="F466" s="12"/>
    </x:row>
    <x:row r="467" ht="14.25" customHeight="1">
      <x:c r="F467" s="12"/>
    </x:row>
    <x:row r="468" ht="14.25" customHeight="1">
      <x:c r="F468" s="12"/>
    </x:row>
    <x:row r="469" ht="14.25" customHeight="1">
      <x:c r="F469" s="12"/>
    </x:row>
    <x:row r="470" ht="14.25" customHeight="1">
      <x:c r="F470" s="12"/>
    </x:row>
    <x:row r="471" ht="14.25" customHeight="1">
      <x:c r="F471" s="12"/>
    </x:row>
    <x:row r="472" ht="14.25" customHeight="1">
      <x:c r="F472" s="12"/>
    </x:row>
    <x:row r="473" ht="14.25" customHeight="1">
      <x:c r="F473" s="12"/>
    </x:row>
    <x:row r="474" ht="14.25" customHeight="1">
      <x:c r="F474" s="12"/>
    </x:row>
    <x:row r="475" ht="14.25" customHeight="1">
      <x:c r="F475" s="12"/>
    </x:row>
    <x:row r="476" ht="14.25" customHeight="1">
      <x:c r="F476" s="12"/>
    </x:row>
    <x:row r="477" ht="14.25" customHeight="1">
      <x:c r="F477" s="12"/>
    </x:row>
    <x:row r="478" ht="14.25" customHeight="1">
      <x:c r="F478" s="12"/>
    </x:row>
    <x:row r="479" ht="14.25" customHeight="1">
      <x:c r="F479" s="12"/>
    </x:row>
    <x:row r="480" ht="14.25" customHeight="1">
      <x:c r="F480" s="12"/>
    </x:row>
    <x:row r="481" ht="14.25" customHeight="1">
      <x:c r="F481" s="12"/>
    </x:row>
    <x:row r="482" ht="14.25" customHeight="1">
      <x:c r="F482" s="12"/>
    </x:row>
    <x:row r="483" ht="14.25" customHeight="1">
      <x:c r="F483" s="12"/>
    </x:row>
    <x:row r="484" ht="14.25" customHeight="1">
      <x:c r="F484" s="12"/>
    </x:row>
    <x:row r="485" ht="14.25" customHeight="1">
      <x:c r="F485" s="12"/>
    </x:row>
    <x:row r="486" ht="14.25" customHeight="1">
      <x:c r="F486" s="12"/>
    </x:row>
    <x:row r="487" ht="14.25" customHeight="1">
      <x:c r="F487" s="12"/>
    </x:row>
    <x:row r="488" ht="14.25" customHeight="1">
      <x:c r="F488" s="12"/>
    </x:row>
    <x:row r="489" ht="14.25" customHeight="1">
      <x:c r="F489" s="12"/>
    </x:row>
    <x:row r="490" ht="14.25" customHeight="1">
      <x:c r="F490" s="12"/>
    </x:row>
    <x:row r="491" ht="14.25" customHeight="1">
      <x:c r="F491" s="12"/>
    </x:row>
    <x:row r="492" ht="14.25" customHeight="1">
      <x:c r="F492" s="12"/>
    </x:row>
    <x:row r="493" ht="14.25" customHeight="1">
      <x:c r="F493" s="12"/>
    </x:row>
    <x:row r="494" ht="14.25" customHeight="1">
      <x:c r="F494" s="12"/>
    </x:row>
    <x:row r="495" ht="14.25" customHeight="1">
      <x:c r="F495" s="12"/>
    </x:row>
    <x:row r="496" ht="14.25" customHeight="1">
      <x:c r="F496" s="12"/>
    </x:row>
    <x:row r="497" ht="14.25" customHeight="1">
      <x:c r="F497" s="12"/>
    </x:row>
    <x:row r="498" ht="14.25" customHeight="1">
      <x:c r="F498" s="12"/>
    </x:row>
    <x:row r="499" ht="14.25" customHeight="1">
      <x:c r="F499" s="12"/>
    </x:row>
    <x:row r="500" ht="14.25" customHeight="1">
      <x:c r="F500" s="12"/>
    </x:row>
    <x:row r="501" ht="14.25" customHeight="1">
      <x:c r="F501" s="12"/>
    </x:row>
    <x:row r="502" ht="14.25" customHeight="1">
      <x:c r="F502" s="12"/>
    </x:row>
    <x:row r="503" ht="14.25" customHeight="1">
      <x:c r="F503" s="12"/>
    </x:row>
    <x:row r="504" ht="14.25" customHeight="1">
      <x:c r="F504" s="12"/>
    </x:row>
    <x:row r="505" ht="14.25" customHeight="1">
      <x:c r="F505" s="12"/>
    </x:row>
    <x:row r="506" ht="14.25" customHeight="1">
      <x:c r="F506" s="12"/>
    </x:row>
    <x:row r="507" ht="14.25" customHeight="1">
      <x:c r="F507" s="12"/>
    </x:row>
    <x:row r="508" ht="14.25" customHeight="1">
      <x:c r="F508" s="12"/>
    </x:row>
    <x:row r="509" ht="14.25" customHeight="1">
      <x:c r="F509" s="12"/>
    </x:row>
    <x:row r="510" ht="14.25" customHeight="1">
      <x:c r="F510" s="12"/>
    </x:row>
    <x:row r="511" ht="14.25" customHeight="1">
      <x:c r="F511" s="12"/>
    </x:row>
    <x:row r="512" ht="14.25" customHeight="1">
      <x:c r="F512" s="12"/>
    </x:row>
    <x:row r="513" ht="14.25" customHeight="1">
      <x:c r="F513" s="12"/>
    </x:row>
    <x:row r="514" ht="14.25" customHeight="1">
      <x:c r="F514" s="12"/>
    </x:row>
    <x:row r="515" ht="14.25" customHeight="1">
      <x:c r="F515" s="12"/>
    </x:row>
    <x:row r="516" ht="14.25" customHeight="1">
      <x:c r="F516" s="12"/>
    </x:row>
    <x:row r="517" ht="14.25" customHeight="1">
      <x:c r="F517" s="12"/>
    </x:row>
    <x:row r="518" ht="14.25" customHeight="1">
      <x:c r="F518" s="12"/>
    </x:row>
    <x:row r="519" ht="14.25" customHeight="1">
      <x:c r="F519" s="12"/>
    </x:row>
    <x:row r="520" ht="14.25" customHeight="1">
      <x:c r="F520" s="12"/>
    </x:row>
    <x:row r="521" ht="14.25" customHeight="1">
      <x:c r="F521" s="12"/>
    </x:row>
    <x:row r="522" ht="14.25" customHeight="1">
      <x:c r="F522" s="12"/>
    </x:row>
    <x:row r="523" ht="14.25" customHeight="1">
      <x:c r="F523" s="12"/>
    </x:row>
    <x:row r="524" ht="14.25" customHeight="1">
      <x:c r="F524" s="12"/>
    </x:row>
    <x:row r="525" ht="14.25" customHeight="1">
      <x:c r="F525" s="12"/>
    </x:row>
    <x:row r="526" ht="14.25" customHeight="1">
      <x:c r="F526" s="12"/>
    </x:row>
    <x:row r="527" ht="14.25" customHeight="1">
      <x:c r="F527" s="12"/>
    </x:row>
    <x:row r="528" ht="14.25" customHeight="1">
      <x:c r="F528" s="12"/>
    </x:row>
    <x:row r="529" ht="14.25" customHeight="1">
      <x:c r="F529" s="12"/>
    </x:row>
    <x:row r="530" ht="14.25" customHeight="1">
      <x:c r="F530" s="12"/>
    </x:row>
    <x:row r="531" ht="14.25" customHeight="1">
      <x:c r="F531" s="12"/>
    </x:row>
    <x:row r="532" ht="14.25" customHeight="1">
      <x:c r="F532" s="12"/>
    </x:row>
    <x:row r="533" ht="14.25" customHeight="1">
      <x:c r="F533" s="12"/>
    </x:row>
    <x:row r="534" ht="14.25" customHeight="1">
      <x:c r="F534" s="12"/>
    </x:row>
    <x:row r="535" ht="14.25" customHeight="1">
      <x:c r="F535" s="12"/>
    </x:row>
    <x:row r="536" ht="14.25" customHeight="1">
      <x:c r="F536" s="12"/>
    </x:row>
    <x:row r="537" ht="14.25" customHeight="1">
      <x:c r="F537" s="12"/>
    </x:row>
    <x:row r="538" ht="14.25" customHeight="1">
      <x:c r="F538" s="12"/>
    </x:row>
    <x:row r="539" ht="14.25" customHeight="1">
      <x:c r="F539" s="12"/>
    </x:row>
    <x:row r="540" ht="14.25" customHeight="1">
      <x:c r="F540" s="12"/>
    </x:row>
    <x:row r="541" ht="14.25" customHeight="1">
      <x:c r="F541" s="12"/>
    </x:row>
    <x:row r="542" ht="14.25" customHeight="1">
      <x:c r="F542" s="12"/>
    </x:row>
    <x:row r="543" ht="14.25" customHeight="1">
      <x:c r="F543" s="12"/>
    </x:row>
    <x:row r="544" ht="14.25" customHeight="1">
      <x:c r="F544" s="12"/>
    </x:row>
    <x:row r="545" ht="14.25" customHeight="1">
      <x:c r="F545" s="12"/>
    </x:row>
    <x:row r="546" ht="14.25" customHeight="1">
      <x:c r="F546" s="12"/>
    </x:row>
    <x:row r="547" ht="14.25" customHeight="1">
      <x:c r="F547" s="12"/>
    </x:row>
    <x:row r="548" ht="14.25" customHeight="1">
      <x:c r="F548" s="12"/>
    </x:row>
    <x:row r="549" ht="14.25" customHeight="1">
      <x:c r="F549" s="12"/>
    </x:row>
    <x:row r="550" ht="14.25" customHeight="1">
      <x:c r="F550" s="12"/>
    </x:row>
    <x:row r="551" ht="14.25" customHeight="1">
      <x:c r="F551" s="12"/>
    </x:row>
    <x:row r="552" ht="14.25" customHeight="1">
      <x:c r="F552" s="12"/>
    </x:row>
    <x:row r="553" ht="14.25" customHeight="1">
      <x:c r="F553" s="12"/>
    </x:row>
    <x:row r="554" ht="14.25" customHeight="1">
      <x:c r="F554" s="12"/>
    </x:row>
    <x:row r="555" ht="14.25" customHeight="1">
      <x:c r="F555" s="12"/>
    </x:row>
    <x:row r="556" ht="14.25" customHeight="1">
      <x:c r="F556" s="12"/>
    </x:row>
    <x:row r="557" ht="14.25" customHeight="1">
      <x:c r="F557" s="12"/>
    </x:row>
    <x:row r="558" ht="14.25" customHeight="1">
      <x:c r="F558" s="12"/>
    </x:row>
    <x:row r="559" ht="14.25" customHeight="1">
      <x:c r="F559" s="12"/>
    </x:row>
    <x:row r="560" ht="14.25" customHeight="1">
      <x:c r="F560" s="12"/>
    </x:row>
    <x:row r="561" ht="14.25" customHeight="1">
      <x:c r="F561" s="12"/>
    </x:row>
    <x:row r="562" ht="14.25" customHeight="1">
      <x:c r="F562" s="12"/>
    </x:row>
    <x:row r="563" ht="14.25" customHeight="1">
      <x:c r="F563" s="12"/>
    </x:row>
    <x:row r="564" ht="14.25" customHeight="1">
      <x:c r="F564" s="12"/>
    </x:row>
    <x:row r="565" ht="14.25" customHeight="1">
      <x:c r="F565" s="12"/>
    </x:row>
    <x:row r="566" ht="14.25" customHeight="1">
      <x:c r="F566" s="12"/>
    </x:row>
    <x:row r="567" ht="14.25" customHeight="1">
      <x:c r="F567" s="12"/>
    </x:row>
    <x:row r="568" ht="14.25" customHeight="1">
      <x:c r="F568" s="12"/>
    </x:row>
    <x:row r="569" ht="14.25" customHeight="1">
      <x:c r="F569" s="12"/>
    </x:row>
    <x:row r="570" ht="14.25" customHeight="1">
      <x:c r="F570" s="12"/>
    </x:row>
    <x:row r="571" ht="14.25" customHeight="1">
      <x:c r="F571" s="12"/>
    </x:row>
    <x:row r="572" ht="14.25" customHeight="1">
      <x:c r="F572" s="12"/>
    </x:row>
    <x:row r="573" ht="14.25" customHeight="1">
      <x:c r="F573" s="12"/>
    </x:row>
    <x:row r="574" ht="14.25" customHeight="1">
      <x:c r="F574" s="12"/>
    </x:row>
    <x:row r="575" ht="14.25" customHeight="1">
      <x:c r="F575" s="12"/>
    </x:row>
    <x:row r="576" ht="14.25" customHeight="1">
      <x:c r="F576" s="12"/>
    </x:row>
    <x:row r="577" ht="14.25" customHeight="1">
      <x:c r="F577" s="12"/>
    </x:row>
    <x:row r="578" ht="14.25" customHeight="1">
      <x:c r="F578" s="12"/>
    </x:row>
    <x:row r="579" ht="14.25" customHeight="1">
      <x:c r="F579" s="12"/>
    </x:row>
    <x:row r="580" ht="14.25" customHeight="1">
      <x:c r="F580" s="12"/>
    </x:row>
    <x:row r="581" ht="14.25" customHeight="1">
      <x:c r="F581" s="12"/>
    </x:row>
    <x:row r="582" ht="14.25" customHeight="1">
      <x:c r="F582" s="12"/>
    </x:row>
    <x:row r="583" ht="14.25" customHeight="1">
      <x:c r="F583" s="12"/>
    </x:row>
    <x:row r="584" ht="14.25" customHeight="1">
      <x:c r="F584" s="12"/>
    </x:row>
    <x:row r="585" ht="14.25" customHeight="1">
      <x:c r="F585" s="12"/>
    </x:row>
    <x:row r="586" ht="14.25" customHeight="1">
      <x:c r="F586" s="12"/>
    </x:row>
    <x:row r="587" ht="14.25" customHeight="1">
      <x:c r="F587" s="12"/>
    </x:row>
    <x:row r="588" ht="14.25" customHeight="1">
      <x:c r="F588" s="12"/>
    </x:row>
    <x:row r="589" ht="14.25" customHeight="1">
      <x:c r="F589" s="12"/>
    </x:row>
    <x:row r="590" ht="14.25" customHeight="1">
      <x:c r="F590" s="12"/>
    </x:row>
    <x:row r="591" ht="14.25" customHeight="1">
      <x:c r="F591" s="12"/>
    </x:row>
    <x:row r="592" ht="14.25" customHeight="1">
      <x:c r="F592" s="12"/>
    </x:row>
    <x:row r="593" ht="14.25" customHeight="1">
      <x:c r="F593" s="12"/>
    </x:row>
    <x:row r="594" ht="14.25" customHeight="1">
      <x:c r="F594" s="12"/>
    </x:row>
    <x:row r="595" ht="14.25" customHeight="1">
      <x:c r="F595" s="12"/>
    </x:row>
    <x:row r="596" ht="14.25" customHeight="1">
      <x:c r="F596" s="12"/>
    </x:row>
    <x:row r="597" ht="14.25" customHeight="1">
      <x:c r="F597" s="12"/>
    </x:row>
    <x:row r="598" ht="14.25" customHeight="1">
      <x:c r="F598" s="12"/>
    </x:row>
    <x:row r="599" ht="14.25" customHeight="1">
      <x:c r="F599" s="12"/>
    </x:row>
    <x:row r="600" ht="14.25" customHeight="1">
      <x:c r="F600" s="12"/>
    </x:row>
    <x:row r="601" ht="14.25" customHeight="1">
      <x:c r="F601" s="12"/>
    </x:row>
    <x:row r="602" ht="14.25" customHeight="1">
      <x:c r="F602" s="12"/>
    </x:row>
    <x:row r="603" ht="14.25" customHeight="1">
      <x:c r="F603" s="12"/>
    </x:row>
    <x:row r="604" ht="14.25" customHeight="1">
      <x:c r="F604" s="12"/>
    </x:row>
    <x:row r="605" ht="14.25" customHeight="1">
      <x:c r="F605" s="12"/>
    </x:row>
    <x:row r="606" ht="14.25" customHeight="1">
      <x:c r="F606" s="12"/>
    </x:row>
    <x:row r="607" ht="14.25" customHeight="1">
      <x:c r="F607" s="12"/>
    </x:row>
    <x:row r="608" ht="14.25" customHeight="1">
      <x:c r="F608" s="12"/>
    </x:row>
    <x:row r="609" ht="14.25" customHeight="1">
      <x:c r="F609" s="12"/>
    </x:row>
    <x:row r="610" ht="14.25" customHeight="1">
      <x:c r="F610" s="12"/>
    </x:row>
    <x:row r="611" ht="14.25" customHeight="1">
      <x:c r="F611" s="12"/>
    </x:row>
    <x:row r="612" ht="14.25" customHeight="1">
      <x:c r="F612" s="12"/>
    </x:row>
    <x:row r="613" ht="14.25" customHeight="1">
      <x:c r="F613" s="12"/>
    </x:row>
    <x:row r="614" ht="14.25" customHeight="1">
      <x:c r="F614" s="12"/>
    </x:row>
    <x:row r="615" ht="14.25" customHeight="1">
      <x:c r="F615" s="12"/>
    </x:row>
    <x:row r="616" ht="14.25" customHeight="1">
      <x:c r="F616" s="12"/>
    </x:row>
    <x:row r="617" ht="14.25" customHeight="1">
      <x:c r="F617" s="12"/>
    </x:row>
    <x:row r="618" ht="14.25" customHeight="1">
      <x:c r="F618" s="12"/>
    </x:row>
    <x:row r="619" ht="14.25" customHeight="1">
      <x:c r="F619" s="12"/>
    </x:row>
    <x:row r="620" ht="14.25" customHeight="1">
      <x:c r="F620" s="12"/>
    </x:row>
    <x:row r="621" ht="14.25" customHeight="1">
      <x:c r="F621" s="12"/>
    </x:row>
    <x:row r="622" ht="14.25" customHeight="1">
      <x:c r="F622" s="12"/>
    </x:row>
    <x:row r="623" ht="14.25" customHeight="1">
      <x:c r="F623" s="12"/>
    </x:row>
    <x:row r="624" ht="14.25" customHeight="1">
      <x:c r="F624" s="12"/>
    </x:row>
    <x:row r="625" ht="14.25" customHeight="1">
      <x:c r="F625" s="12"/>
    </x:row>
    <x:row r="626" ht="14.25" customHeight="1">
      <x:c r="F626" s="12"/>
    </x:row>
    <x:row r="627" ht="14.25" customHeight="1">
      <x:c r="F627" s="12"/>
    </x:row>
    <x:row r="628" ht="14.25" customHeight="1">
      <x:c r="F628" s="12"/>
    </x:row>
    <x:row r="629" ht="14.25" customHeight="1">
      <x:c r="F629" s="12"/>
    </x:row>
    <x:row r="630" ht="14.25" customHeight="1">
      <x:c r="F630" s="12"/>
    </x:row>
    <x:row r="631" ht="14.25" customHeight="1">
      <x:c r="F631" s="12"/>
    </x:row>
    <x:row r="632" ht="14.25" customHeight="1">
      <x:c r="F632" s="12"/>
    </x:row>
    <x:row r="633" ht="14.25" customHeight="1">
      <x:c r="F633" s="12"/>
    </x:row>
    <x:row r="634" ht="14.25" customHeight="1">
      <x:c r="F634" s="12"/>
    </x:row>
    <x:row r="635" ht="14.25" customHeight="1">
      <x:c r="F635" s="12"/>
    </x:row>
    <x:row r="636" ht="14.25" customHeight="1">
      <x:c r="F636" s="12"/>
    </x:row>
    <x:row r="637" ht="14.25" customHeight="1">
      <x:c r="F637" s="12"/>
    </x:row>
    <x:row r="638" ht="14.25" customHeight="1">
      <x:c r="F638" s="12"/>
    </x:row>
    <x:row r="639" ht="14.25" customHeight="1">
      <x:c r="F639" s="12"/>
    </x:row>
    <x:row r="640" ht="14.25" customHeight="1">
      <x:c r="F640" s="12"/>
    </x:row>
    <x:row r="641" ht="14.25" customHeight="1">
      <x:c r="F641" s="12"/>
    </x:row>
    <x:row r="642" ht="14.25" customHeight="1">
      <x:c r="F642" s="12"/>
    </x:row>
    <x:row r="643" ht="14.25" customHeight="1">
      <x:c r="F643" s="12"/>
    </x:row>
    <x:row r="644" ht="14.25" customHeight="1">
      <x:c r="F644" s="12"/>
    </x:row>
    <x:row r="645" ht="14.25" customHeight="1">
      <x:c r="F645" s="12"/>
    </x:row>
    <x:row r="646" ht="14.25" customHeight="1">
      <x:c r="F646" s="12"/>
    </x:row>
    <x:row r="647" ht="14.25" customHeight="1">
      <x:c r="F647" s="12"/>
    </x:row>
    <x:row r="648" ht="14.25" customHeight="1">
      <x:c r="F648" s="12"/>
    </x:row>
    <x:row r="649" ht="14.25" customHeight="1">
      <x:c r="F649" s="12"/>
    </x:row>
    <x:row r="650" ht="14.25" customHeight="1">
      <x:c r="F650" s="12"/>
    </x:row>
    <x:row r="651" ht="14.25" customHeight="1">
      <x:c r="F651" s="12"/>
    </x:row>
    <x:row r="652" ht="14.25" customHeight="1">
      <x:c r="F652" s="12"/>
    </x:row>
    <x:row r="653" ht="14.25" customHeight="1">
      <x:c r="F653" s="12"/>
    </x:row>
    <x:row r="654" ht="14.25" customHeight="1">
      <x:c r="F654" s="12"/>
    </x:row>
    <x:row r="655" ht="14.25" customHeight="1">
      <x:c r="F655" s="12"/>
    </x:row>
    <x:row r="656" ht="14.25" customHeight="1">
      <x:c r="F656" s="12"/>
    </x:row>
    <x:row r="657" ht="14.25" customHeight="1">
      <x:c r="F657" s="12"/>
    </x:row>
    <x:row r="658" ht="14.25" customHeight="1">
      <x:c r="F658" s="12"/>
    </x:row>
    <x:row r="659" ht="14.25" customHeight="1">
      <x:c r="F659" s="12"/>
    </x:row>
    <x:row r="660" ht="14.25" customHeight="1">
      <x:c r="F660" s="12"/>
    </x:row>
    <x:row r="661" ht="14.25" customHeight="1">
      <x:c r="F661" s="12"/>
    </x:row>
    <x:row r="662" ht="14.25" customHeight="1">
      <x:c r="F662" s="12"/>
    </x:row>
    <x:row r="663" ht="14.25" customHeight="1">
      <x:c r="F663" s="12"/>
    </x:row>
    <x:row r="664" ht="14.25" customHeight="1">
      <x:c r="F664" s="12"/>
    </x:row>
    <x:row r="665" ht="14.25" customHeight="1">
      <x:c r="F665" s="12"/>
    </x:row>
    <x:row r="666" ht="14.25" customHeight="1">
      <x:c r="F666" s="12"/>
    </x:row>
    <x:row r="667" ht="14.25" customHeight="1">
      <x:c r="F667" s="12"/>
    </x:row>
    <x:row r="668" ht="14.25" customHeight="1">
      <x:c r="F668" s="12"/>
    </x:row>
    <x:row r="669" ht="14.25" customHeight="1">
      <x:c r="F669" s="12"/>
    </x:row>
    <x:row r="670" ht="14.25" customHeight="1">
      <x:c r="F670" s="12"/>
    </x:row>
    <x:row r="671" ht="14.25" customHeight="1">
      <x:c r="F671" s="12"/>
    </x:row>
    <x:row r="672" ht="14.25" customHeight="1">
      <x:c r="F672" s="12"/>
    </x:row>
    <x:row r="673" ht="14.25" customHeight="1">
      <x:c r="F673" s="12"/>
    </x:row>
    <x:row r="674" ht="14.25" customHeight="1">
      <x:c r="F674" s="12"/>
    </x:row>
    <x:row r="675" ht="14.25" customHeight="1">
      <x:c r="F675" s="12"/>
    </x:row>
    <x:row r="676" ht="14.25" customHeight="1">
      <x:c r="F676" s="12"/>
    </x:row>
    <x:row r="677" ht="14.25" customHeight="1">
      <x:c r="F677" s="12"/>
    </x:row>
    <x:row r="678" ht="14.25" customHeight="1">
      <x:c r="F678" s="12"/>
    </x:row>
    <x:row r="679" ht="14.25" customHeight="1">
      <x:c r="F679" s="12"/>
    </x:row>
    <x:row r="680" ht="14.25" customHeight="1">
      <x:c r="F680" s="12"/>
    </x:row>
    <x:row r="681" ht="14.25" customHeight="1">
      <x:c r="F681" s="12"/>
    </x:row>
    <x:row r="682" ht="14.25" customHeight="1">
      <x:c r="F682" s="12"/>
    </x:row>
    <x:row r="683" ht="14.25" customHeight="1">
      <x:c r="F683" s="12"/>
    </x:row>
    <x:row r="684" ht="14.25" customHeight="1">
      <x:c r="F684" s="12"/>
    </x:row>
    <x:row r="685" ht="14.25" customHeight="1">
      <x:c r="F685" s="12"/>
    </x:row>
    <x:row r="686" ht="14.25" customHeight="1">
      <x:c r="F686" s="12"/>
    </x:row>
    <x:row r="687" ht="14.25" customHeight="1">
      <x:c r="F687" s="12"/>
    </x:row>
    <x:row r="688" ht="14.25" customHeight="1">
      <x:c r="F688" s="12"/>
    </x:row>
    <x:row r="689" ht="14.25" customHeight="1">
      <x:c r="F689" s="12"/>
    </x:row>
    <x:row r="690" ht="14.25" customHeight="1">
      <x:c r="F690" s="12"/>
    </x:row>
    <x:row r="691" ht="14.25" customHeight="1">
      <x:c r="F691" s="12"/>
    </x:row>
    <x:row r="692" ht="14.25" customHeight="1">
      <x:c r="F692" s="12"/>
    </x:row>
    <x:row r="693" ht="14.25" customHeight="1">
      <x:c r="F693" s="12"/>
    </x:row>
    <x:row r="694" ht="14.25" customHeight="1">
      <x:c r="F694" s="12"/>
    </x:row>
    <x:row r="695" ht="14.25" customHeight="1">
      <x:c r="F695" s="12"/>
    </x:row>
    <x:row r="696" ht="14.25" customHeight="1">
      <x:c r="F696" s="12"/>
    </x:row>
    <x:row r="697" ht="14.25" customHeight="1">
      <x:c r="F697" s="12"/>
    </x:row>
    <x:row r="698" ht="14.25" customHeight="1">
      <x:c r="F698" s="12"/>
    </x:row>
    <x:row r="699" ht="14.25" customHeight="1">
      <x:c r="F699" s="12"/>
    </x:row>
    <x:row r="700" ht="14.25" customHeight="1">
      <x:c r="F700" s="12"/>
    </x:row>
    <x:row r="701" ht="14.25" customHeight="1">
      <x:c r="F701" s="12"/>
    </x:row>
    <x:row r="702" ht="14.25" customHeight="1">
      <x:c r="F702" s="12"/>
    </x:row>
    <x:row r="703" ht="14.25" customHeight="1">
      <x:c r="F703" s="12"/>
    </x:row>
    <x:row r="704" ht="14.25" customHeight="1">
      <x:c r="F704" s="12"/>
    </x:row>
    <x:row r="705" ht="14.25" customHeight="1">
      <x:c r="F705" s="12"/>
    </x:row>
    <x:row r="706" ht="14.25" customHeight="1">
      <x:c r="F706" s="12"/>
    </x:row>
    <x:row r="707" ht="14.25" customHeight="1">
      <x:c r="F707" s="12"/>
    </x:row>
    <x:row r="708" ht="14.25" customHeight="1">
      <x:c r="F708" s="12"/>
    </x:row>
    <x:row r="709" ht="14.25" customHeight="1">
      <x:c r="F709" s="12"/>
    </x:row>
    <x:row r="710" ht="14.25" customHeight="1">
      <x:c r="F710" s="12"/>
    </x:row>
    <x:row r="711" ht="14.25" customHeight="1">
      <x:c r="F711" s="12"/>
    </x:row>
    <x:row r="712" ht="14.25" customHeight="1">
      <x:c r="F712" s="12"/>
    </x:row>
    <x:row r="713" ht="14.25" customHeight="1">
      <x:c r="F713" s="12"/>
    </x:row>
    <x:row r="714" ht="14.25" customHeight="1">
      <x:c r="F714" s="12"/>
    </x:row>
    <x:row r="715" ht="14.25" customHeight="1">
      <x:c r="F715" s="12"/>
    </x:row>
    <x:row r="716" ht="14.25" customHeight="1">
      <x:c r="F716" s="12"/>
    </x:row>
    <x:row r="717" ht="14.25" customHeight="1">
      <x:c r="F717" s="12"/>
    </x:row>
    <x:row r="718" ht="14.25" customHeight="1">
      <x:c r="F718" s="12"/>
    </x:row>
    <x:row r="719" ht="14.25" customHeight="1">
      <x:c r="F719" s="12"/>
    </x:row>
    <x:row r="720" ht="14.25" customHeight="1">
      <x:c r="F720" s="12"/>
    </x:row>
    <x:row r="721" ht="14.25" customHeight="1">
      <x:c r="F721" s="12"/>
    </x:row>
    <x:row r="722" ht="14.25" customHeight="1">
      <x:c r="F722" s="12"/>
    </x:row>
    <x:row r="723" ht="14.25" customHeight="1">
      <x:c r="F723" s="12"/>
    </x:row>
    <x:row r="724" ht="14.25" customHeight="1">
      <x:c r="F724" s="12"/>
    </x:row>
    <x:row r="725" ht="14.25" customHeight="1">
      <x:c r="F725" s="12"/>
    </x:row>
    <x:row r="726" ht="14.25" customHeight="1">
      <x:c r="F726" s="12"/>
    </x:row>
    <x:row r="727" ht="14.25" customHeight="1">
      <x:c r="F727" s="12"/>
    </x:row>
    <x:row r="728" ht="14.25" customHeight="1">
      <x:c r="F728" s="12"/>
    </x:row>
    <x:row r="729" ht="14.25" customHeight="1">
      <x:c r="F729" s="12"/>
    </x:row>
    <x:row r="730" ht="14.25" customHeight="1">
      <x:c r="F730" s="12"/>
    </x:row>
    <x:row r="731" ht="14.25" customHeight="1">
      <x:c r="F731" s="12"/>
    </x:row>
    <x:row r="732" ht="14.25" customHeight="1">
      <x:c r="F732" s="12"/>
    </x:row>
    <x:row r="733" ht="14.25" customHeight="1">
      <x:c r="F733" s="12"/>
    </x:row>
    <x:row r="734" ht="14.25" customHeight="1">
      <x:c r="F734" s="12"/>
    </x:row>
    <x:row r="735" ht="14.25" customHeight="1">
      <x:c r="F735" s="12"/>
    </x:row>
    <x:row r="736" ht="14.25" customHeight="1">
      <x:c r="F736" s="12"/>
    </x:row>
    <x:row r="737" ht="14.25" customHeight="1">
      <x:c r="F737" s="12"/>
    </x:row>
    <x:row r="738" ht="14.25" customHeight="1">
      <x:c r="F738" s="12"/>
    </x:row>
    <x:row r="739" ht="14.25" customHeight="1">
      <x:c r="F739" s="12"/>
    </x:row>
    <x:row r="740" ht="14.25" customHeight="1">
      <x:c r="F740" s="12"/>
    </x:row>
    <x:row r="741" ht="14.25" customHeight="1">
      <x:c r="F741" s="12"/>
    </x:row>
    <x:row r="742" ht="14.25" customHeight="1">
      <x:c r="F742" s="12"/>
    </x:row>
    <x:row r="743" ht="14.25" customHeight="1">
      <x:c r="F743" s="12"/>
    </x:row>
    <x:row r="744" ht="14.25" customHeight="1">
      <x:c r="F744" s="12"/>
    </x:row>
    <x:row r="745" ht="14.25" customHeight="1">
      <x:c r="F745" s="12"/>
    </x:row>
    <x:row r="746" ht="14.25" customHeight="1">
      <x:c r="F746" s="12"/>
    </x:row>
    <x:row r="747" ht="14.25" customHeight="1">
      <x:c r="F747" s="12"/>
    </x:row>
    <x:row r="748" ht="14.25" customHeight="1">
      <x:c r="F748" s="12"/>
    </x:row>
    <x:row r="749" ht="14.25" customHeight="1">
      <x:c r="F749" s="12"/>
    </x:row>
    <x:row r="750" ht="14.25" customHeight="1">
      <x:c r="F750" s="12"/>
    </x:row>
    <x:row r="751" ht="14.25" customHeight="1">
      <x:c r="F751" s="12"/>
    </x:row>
    <x:row r="752" ht="14.25" customHeight="1">
      <x:c r="F752" s="12"/>
    </x:row>
    <x:row r="753" ht="14.25" customHeight="1">
      <x:c r="F753" s="12"/>
    </x:row>
    <x:row r="754" ht="14.25" customHeight="1">
      <x:c r="F754" s="12"/>
    </x:row>
    <x:row r="755" ht="14.25" customHeight="1">
      <x:c r="F755" s="12"/>
    </x:row>
    <x:row r="756" ht="14.25" customHeight="1">
      <x:c r="F756" s="12"/>
    </x:row>
    <x:row r="757" ht="14.25" customHeight="1">
      <x:c r="F757" s="12"/>
    </x:row>
    <x:row r="758" ht="14.25" customHeight="1">
      <x:c r="F758" s="12"/>
    </x:row>
    <x:row r="759" ht="14.25" customHeight="1">
      <x:c r="F759" s="12"/>
    </x:row>
    <x:row r="760" ht="14.25" customHeight="1">
      <x:c r="F760" s="12"/>
    </x:row>
    <x:row r="761" ht="14.25" customHeight="1">
      <x:c r="F761" s="12"/>
    </x:row>
    <x:row r="762" ht="14.25" customHeight="1">
      <x:c r="F762" s="12"/>
    </x:row>
    <x:row r="763" ht="14.25" customHeight="1">
      <x:c r="F763" s="12"/>
    </x:row>
    <x:row r="764" ht="14.25" customHeight="1">
      <x:c r="F764" s="12"/>
    </x:row>
    <x:row r="765" ht="14.25" customHeight="1">
      <x:c r="F765" s="12"/>
    </x:row>
    <x:row r="766" ht="14.25" customHeight="1">
      <x:c r="F766" s="12"/>
    </x:row>
    <x:row r="767" ht="14.25" customHeight="1">
      <x:c r="F767" s="12"/>
    </x:row>
    <x:row r="768" ht="14.25" customHeight="1">
      <x:c r="F768" s="12"/>
    </x:row>
    <x:row r="769" ht="14.25" customHeight="1">
      <x:c r="F769" s="12"/>
    </x:row>
    <x:row r="770" ht="14.25" customHeight="1">
      <x:c r="F770" s="12"/>
    </x:row>
    <x:row r="771" ht="14.25" customHeight="1">
      <x:c r="F771" s="12"/>
    </x:row>
    <x:row r="772" ht="14.25" customHeight="1">
      <x:c r="F772" s="12"/>
    </x:row>
    <x:row r="773" ht="14.25" customHeight="1">
      <x:c r="F773" s="12"/>
    </x:row>
    <x:row r="774" ht="14.25" customHeight="1">
      <x:c r="F774" s="12"/>
    </x:row>
    <x:row r="775" ht="14.25" customHeight="1">
      <x:c r="F775" s="12"/>
    </x:row>
    <x:row r="776" ht="14.25" customHeight="1">
      <x:c r="F776" s="12"/>
    </x:row>
    <x:row r="777" ht="14.25" customHeight="1">
      <x:c r="F777" s="12"/>
    </x:row>
    <x:row r="778" ht="14.25" customHeight="1">
      <x:c r="F778" s="12"/>
    </x:row>
    <x:row r="779" ht="14.25" customHeight="1">
      <x:c r="F779" s="12"/>
    </x:row>
    <x:row r="780" ht="14.25" customHeight="1">
      <x:c r="F780" s="12"/>
    </x:row>
    <x:row r="781" ht="14.25" customHeight="1">
      <x:c r="F781" s="12"/>
    </x:row>
    <x:row r="782" ht="14.25" customHeight="1">
      <x:c r="F782" s="12"/>
    </x:row>
    <x:row r="783" ht="14.25" customHeight="1">
      <x:c r="F783" s="12"/>
    </x:row>
    <x:row r="784" ht="14.25" customHeight="1">
      <x:c r="F784" s="12"/>
    </x:row>
    <x:row r="785" ht="14.25" customHeight="1">
      <x:c r="F785" s="12"/>
    </x:row>
    <x:row r="786" ht="14.25" customHeight="1">
      <x:c r="F786" s="12"/>
    </x:row>
    <x:row r="787" ht="14.25" customHeight="1">
      <x:c r="F787" s="12"/>
    </x:row>
    <x:row r="788" ht="14.25" customHeight="1">
      <x:c r="F788" s="12"/>
    </x:row>
    <x:row r="789" ht="14.25" customHeight="1">
      <x:c r="F789" s="12"/>
    </x:row>
    <x:row r="790" ht="14.25" customHeight="1">
      <x:c r="F790" s="12"/>
    </x:row>
    <x:row r="791" ht="14.25" customHeight="1">
      <x:c r="F791" s="12"/>
    </x:row>
    <x:row r="792" ht="14.25" customHeight="1">
      <x:c r="F792" s="12"/>
    </x:row>
    <x:row r="793" ht="14.25" customHeight="1">
      <x:c r="F793" s="12"/>
    </x:row>
    <x:row r="794" ht="14.25" customHeight="1">
      <x:c r="F794" s="12"/>
    </x:row>
    <x:row r="795" ht="14.25" customHeight="1">
      <x:c r="F795" s="12"/>
    </x:row>
    <x:row r="796" ht="14.25" customHeight="1">
      <x:c r="F796" s="12"/>
    </x:row>
    <x:row r="797" ht="14.25" customHeight="1">
      <x:c r="F797" s="12"/>
    </x:row>
    <x:row r="798" ht="14.25" customHeight="1">
      <x:c r="F798" s="12"/>
    </x:row>
    <x:row r="799" ht="14.25" customHeight="1">
      <x:c r="F799" s="12"/>
    </x:row>
    <x:row r="800" ht="14.25" customHeight="1">
      <x:c r="F800" s="12"/>
    </x:row>
    <x:row r="801" ht="14.25" customHeight="1">
      <x:c r="F801" s="12"/>
    </x:row>
    <x:row r="802" ht="14.25" customHeight="1">
      <x:c r="F802" s="12"/>
    </x:row>
    <x:row r="803" ht="14.25" customHeight="1">
      <x:c r="F803" s="12"/>
    </x:row>
    <x:row r="804" ht="14.25" customHeight="1">
      <x:c r="F804" s="12"/>
    </x:row>
    <x:row r="805" ht="14.25" customHeight="1">
      <x:c r="F805" s="12"/>
    </x:row>
    <x:row r="806" ht="14.25" customHeight="1">
      <x:c r="F806" s="12"/>
    </x:row>
    <x:row r="807" ht="14.25" customHeight="1">
      <x:c r="F807" s="12"/>
    </x:row>
    <x:row r="808" ht="14.25" customHeight="1">
      <x:c r="F808" s="12"/>
    </x:row>
    <x:row r="809" ht="14.25" customHeight="1">
      <x:c r="F809" s="12"/>
    </x:row>
    <x:row r="810" ht="14.25" customHeight="1">
      <x:c r="F810" s="12"/>
    </x:row>
    <x:row r="811" ht="14.25" customHeight="1">
      <x:c r="F811" s="12"/>
    </x:row>
    <x:row r="812" ht="14.25" customHeight="1">
      <x:c r="F812" s="12"/>
    </x:row>
    <x:row r="813" ht="14.25" customHeight="1">
      <x:c r="F813" s="12"/>
    </x:row>
    <x:row r="814" ht="14.25" customHeight="1">
      <x:c r="F814" s="12"/>
    </x:row>
    <x:row r="815" ht="14.25" customHeight="1">
      <x:c r="F815" s="12"/>
    </x:row>
    <x:row r="816" ht="14.25" customHeight="1">
      <x:c r="F816" s="12"/>
    </x:row>
    <x:row r="817" ht="14.25" customHeight="1">
      <x:c r="F817" s="12"/>
    </x:row>
    <x:row r="818" ht="14.25" customHeight="1">
      <x:c r="F818" s="12"/>
    </x:row>
    <x:row r="819" ht="14.25" customHeight="1">
      <x:c r="F819" s="12"/>
    </x:row>
    <x:row r="820" ht="14.25" customHeight="1">
      <x:c r="F820" s="12"/>
    </x:row>
    <x:row r="821" ht="14.25" customHeight="1">
      <x:c r="F821" s="12"/>
    </x:row>
    <x:row r="822" ht="14.25" customHeight="1">
      <x:c r="F822" s="12"/>
    </x:row>
    <x:row r="823" ht="14.25" customHeight="1">
      <x:c r="F823" s="12"/>
    </x:row>
    <x:row r="824" ht="14.25" customHeight="1">
      <x:c r="F824" s="12"/>
    </x:row>
    <x:row r="825" ht="14.25" customHeight="1">
      <x:c r="F825" s="12"/>
    </x:row>
    <x:row r="826" ht="14.25" customHeight="1">
      <x:c r="F826" s="12"/>
    </x:row>
    <x:row r="827" ht="14.25" customHeight="1">
      <x:c r="F827" s="12"/>
    </x:row>
    <x:row r="828" ht="14.25" customHeight="1">
      <x:c r="F828" s="12"/>
    </x:row>
    <x:row r="829" ht="14.25" customHeight="1">
      <x:c r="F829" s="12"/>
    </x:row>
    <x:row r="830" ht="14.25" customHeight="1">
      <x:c r="F830" s="12"/>
    </x:row>
    <x:row r="831" ht="14.25" customHeight="1">
      <x:c r="F831" s="12"/>
    </x:row>
    <x:row r="832" ht="14.25" customHeight="1">
      <x:c r="F832" s="12"/>
    </x:row>
    <x:row r="833" ht="14.25" customHeight="1">
      <x:c r="F833" s="12"/>
    </x:row>
    <x:row r="834" ht="14.25" customHeight="1">
      <x:c r="F834" s="12"/>
    </x:row>
    <x:row r="835" ht="14.25" customHeight="1">
      <x:c r="F835" s="12"/>
    </x:row>
    <x:row r="836" ht="14.25" customHeight="1">
      <x:c r="F836" s="12"/>
    </x:row>
    <x:row r="837" ht="14.25" customHeight="1">
      <x:c r="F837" s="12"/>
    </x:row>
    <x:row r="838" ht="14.25" customHeight="1">
      <x:c r="F838" s="12"/>
    </x:row>
    <x:row r="839" ht="14.25" customHeight="1">
      <x:c r="F839" s="12"/>
    </x:row>
    <x:row r="840" ht="14.25" customHeight="1">
      <x:c r="F840" s="12"/>
    </x:row>
    <x:row r="841" ht="14.25" customHeight="1">
      <x:c r="F841" s="12"/>
    </x:row>
    <x:row r="842" ht="14.25" customHeight="1">
      <x:c r="F842" s="12"/>
    </x:row>
    <x:row r="843" ht="14.25" customHeight="1">
      <x:c r="F843" s="12"/>
    </x:row>
    <x:row r="844" ht="14.25" customHeight="1">
      <x:c r="F844" s="12"/>
    </x:row>
    <x:row r="845" ht="14.25" customHeight="1">
      <x:c r="F845" s="12"/>
    </x:row>
    <x:row r="846" ht="14.25" customHeight="1">
      <x:c r="F846" s="12"/>
    </x:row>
    <x:row r="847" ht="14.25" customHeight="1">
      <x:c r="F847" s="12"/>
    </x:row>
    <x:row r="848" ht="14.25" customHeight="1">
      <x:c r="F848" s="12"/>
    </x:row>
    <x:row r="849" ht="14.25" customHeight="1">
      <x:c r="F849" s="12"/>
    </x:row>
    <x:row r="850" ht="14.25" customHeight="1">
      <x:c r="F850" s="12"/>
    </x:row>
    <x:row r="851" ht="14.25" customHeight="1">
      <x:c r="F851" s="12"/>
    </x:row>
    <x:row r="852" ht="14.25" customHeight="1">
      <x:c r="F852" s="12"/>
    </x:row>
    <x:row r="853" ht="14.25" customHeight="1">
      <x:c r="F853" s="12"/>
    </x:row>
    <x:row r="854" ht="14.25" customHeight="1">
      <x:c r="F854" s="12"/>
    </x:row>
    <x:row r="855" ht="14.25" customHeight="1">
      <x:c r="F855" s="12"/>
    </x:row>
    <x:row r="856" ht="14.25" customHeight="1">
      <x:c r="F856" s="12"/>
    </x:row>
    <x:row r="857" ht="14.25" customHeight="1">
      <x:c r="F857" s="12"/>
    </x:row>
    <x:row r="858" ht="14.25" customHeight="1">
      <x:c r="F858" s="12"/>
    </x:row>
    <x:row r="859" ht="14.25" customHeight="1">
      <x:c r="F859" s="12"/>
    </x:row>
    <x:row r="860" ht="14.25" customHeight="1">
      <x:c r="F860" s="12"/>
    </x:row>
    <x:row r="861" ht="14.25" customHeight="1">
      <x:c r="F861" s="12"/>
    </x:row>
    <x:row r="862" ht="14.25" customHeight="1">
      <x:c r="F862" s="12"/>
    </x:row>
    <x:row r="863" ht="14.25" customHeight="1">
      <x:c r="F863" s="12"/>
    </x:row>
    <x:row r="864" ht="14.25" customHeight="1">
      <x:c r="F864" s="12"/>
    </x:row>
    <x:row r="865" ht="14.25" customHeight="1">
      <x:c r="F865" s="12"/>
    </x:row>
    <x:row r="866" ht="14.25" customHeight="1">
      <x:c r="F866" s="12"/>
    </x:row>
    <x:row r="867" ht="14.25" customHeight="1">
      <x:c r="F867" s="12"/>
    </x:row>
    <x:row r="868" ht="14.25" customHeight="1">
      <x:c r="F868" s="12"/>
    </x:row>
    <x:row r="869" ht="14.25" customHeight="1">
      <x:c r="F869" s="12"/>
    </x:row>
    <x:row r="870" ht="14.25" customHeight="1">
      <x:c r="F870" s="12"/>
    </x:row>
    <x:row r="871" ht="14.25" customHeight="1">
      <x:c r="F871" s="12"/>
    </x:row>
    <x:row r="872" ht="14.25" customHeight="1">
      <x:c r="F872" s="12"/>
    </x:row>
    <x:row r="873" ht="14.25" customHeight="1">
      <x:c r="F873" s="12"/>
    </x:row>
    <x:row r="874" ht="14.25" customHeight="1">
      <x:c r="F874" s="12"/>
    </x:row>
    <x:row r="875" ht="14.25" customHeight="1">
      <x:c r="F875" s="12"/>
    </x:row>
    <x:row r="876" ht="14.25" customHeight="1">
      <x:c r="F876" s="12"/>
    </x:row>
    <x:row r="877" ht="14.25" customHeight="1">
      <x:c r="F877" s="12"/>
    </x:row>
    <x:row r="878" ht="14.25" customHeight="1">
      <x:c r="F878" s="12"/>
    </x:row>
    <x:row r="879" ht="14.25" customHeight="1">
      <x:c r="F879" s="12"/>
    </x:row>
    <x:row r="880" ht="14.25" customHeight="1">
      <x:c r="F880" s="12"/>
    </x:row>
    <x:row r="881" ht="14.25" customHeight="1">
      <x:c r="F881" s="12"/>
    </x:row>
    <x:row r="882" ht="14.25" customHeight="1">
      <x:c r="F882" s="12"/>
    </x:row>
    <x:row r="883" ht="14.25" customHeight="1">
      <x:c r="F883" s="12"/>
    </x:row>
    <x:row r="884" ht="14.25" customHeight="1">
      <x:c r="F884" s="12"/>
    </x:row>
    <x:row r="885" ht="14.25" customHeight="1">
      <x:c r="F885" s="12"/>
    </x:row>
    <x:row r="886" ht="14.25" customHeight="1">
      <x:c r="F886" s="12"/>
    </x:row>
    <x:row r="887" ht="14.25" customHeight="1">
      <x:c r="F887" s="12"/>
    </x:row>
    <x:row r="888" ht="14.25" customHeight="1">
      <x:c r="F888" s="12"/>
    </x:row>
    <x:row r="889" ht="14.25" customHeight="1">
      <x:c r="F889" s="12"/>
    </x:row>
    <x:row r="890" ht="14.25" customHeight="1">
      <x:c r="F890" s="12"/>
    </x:row>
    <x:row r="891" ht="14.25" customHeight="1">
      <x:c r="F891" s="12"/>
    </x:row>
    <x:row r="892" ht="14.25" customHeight="1">
      <x:c r="F892" s="12"/>
    </x:row>
    <x:row r="893" ht="14.25" customHeight="1">
      <x:c r="F893" s="12"/>
    </x:row>
    <x:row r="894" ht="14.25" customHeight="1">
      <x:c r="F894" s="12"/>
    </x:row>
    <x:row r="895" ht="14.25" customHeight="1">
      <x:c r="F895" s="12"/>
    </x:row>
    <x:row r="896" ht="14.25" customHeight="1">
      <x:c r="F896" s="12"/>
    </x:row>
    <x:row r="897" ht="14.25" customHeight="1">
      <x:c r="F897" s="12"/>
    </x:row>
    <x:row r="898" ht="14.25" customHeight="1">
      <x:c r="F898" s="12"/>
    </x:row>
    <x:row r="899" ht="14.25" customHeight="1">
      <x:c r="F899" s="12"/>
    </x:row>
    <x:row r="900" ht="14.25" customHeight="1">
      <x:c r="F900" s="12"/>
    </x:row>
    <x:row r="901" ht="14.25" customHeight="1">
      <x:c r="F901" s="12"/>
    </x:row>
    <x:row r="902" ht="14.25" customHeight="1">
      <x:c r="F902" s="12"/>
    </x:row>
    <x:row r="903" ht="14.25" customHeight="1">
      <x:c r="F903" s="12"/>
    </x:row>
    <x:row r="904" ht="14.25" customHeight="1">
      <x:c r="F904" s="12"/>
    </x:row>
    <x:row r="905" ht="14.25" customHeight="1">
      <x:c r="F905" s="12"/>
    </x:row>
    <x:row r="906" ht="14.25" customHeight="1">
      <x:c r="F906" s="12"/>
    </x:row>
    <x:row r="907" ht="14.25" customHeight="1">
      <x:c r="F907" s="12"/>
    </x:row>
    <x:row r="908" ht="14.25" customHeight="1">
      <x:c r="F908" s="12"/>
    </x:row>
    <x:row r="909" ht="14.25" customHeight="1">
      <x:c r="F909" s="12"/>
    </x:row>
    <x:row r="910" ht="14.25" customHeight="1">
      <x:c r="F910" s="12"/>
    </x:row>
    <x:row r="911" ht="14.25" customHeight="1">
      <x:c r="F911" s="12"/>
    </x:row>
    <x:row r="912" ht="14.25" customHeight="1">
      <x:c r="F912" s="12"/>
    </x:row>
    <x:row r="913" ht="14.25" customHeight="1">
      <x:c r="F913" s="12"/>
    </x:row>
    <x:row r="914" ht="14.25" customHeight="1">
      <x:c r="F914" s="12"/>
    </x:row>
    <x:row r="915" ht="14.25" customHeight="1">
      <x:c r="F915" s="12"/>
    </x:row>
    <x:row r="916" ht="14.25" customHeight="1">
      <x:c r="F916" s="12"/>
    </x:row>
    <x:row r="917" ht="14.25" customHeight="1">
      <x:c r="F917" s="12"/>
    </x:row>
    <x:row r="918" ht="14.25" customHeight="1">
      <x:c r="F918" s="12"/>
    </x:row>
    <x:row r="919" ht="14.25" customHeight="1">
      <x:c r="F919" s="12"/>
    </x:row>
    <x:row r="920" ht="14.25" customHeight="1">
      <x:c r="F920" s="12"/>
    </x:row>
    <x:row r="921" ht="14.25" customHeight="1">
      <x:c r="F921" s="12"/>
    </x:row>
    <x:row r="922" ht="14.25" customHeight="1">
      <x:c r="F922" s="12"/>
    </x:row>
    <x:row r="923" ht="14.25" customHeight="1">
      <x:c r="F923" s="12"/>
    </x:row>
    <x:row r="924" ht="14.25" customHeight="1">
      <x:c r="F924" s="12"/>
    </x:row>
    <x:row r="925" ht="14.25" customHeight="1">
      <x:c r="F925" s="12"/>
    </x:row>
    <x:row r="926" ht="14.25" customHeight="1">
      <x:c r="F926" s="12"/>
    </x:row>
    <x:row r="927" ht="14.25" customHeight="1">
      <x:c r="F927" s="12"/>
    </x:row>
    <x:row r="928" ht="14.25" customHeight="1">
      <x:c r="F928" s="12"/>
    </x:row>
    <x:row r="929" ht="14.25" customHeight="1">
      <x:c r="F929" s="12"/>
    </x:row>
    <x:row r="930" ht="14.25" customHeight="1">
      <x:c r="F930" s="12"/>
    </x:row>
    <x:row r="931" ht="14.25" customHeight="1">
      <x:c r="F931" s="12"/>
    </x:row>
    <x:row r="932" ht="14.25" customHeight="1">
      <x:c r="F932" s="12"/>
    </x:row>
    <x:row r="933" ht="14.25" customHeight="1">
      <x:c r="F933" s="12"/>
    </x:row>
    <x:row r="934" ht="14.25" customHeight="1">
      <x:c r="F934" s="12"/>
    </x:row>
    <x:row r="935" ht="14.25" customHeight="1">
      <x:c r="F935" s="12"/>
    </x:row>
    <x:row r="936" ht="14.25" customHeight="1">
      <x:c r="F936" s="12"/>
    </x:row>
    <x:row r="937" ht="14.25" customHeight="1">
      <x:c r="F937" s="12"/>
    </x:row>
    <x:row r="938" ht="14.25" customHeight="1">
      <x:c r="F938" s="12"/>
    </x:row>
    <x:row r="939" ht="14.25" customHeight="1">
      <x:c r="F939" s="12"/>
    </x:row>
    <x:row r="940" ht="14.25" customHeight="1">
      <x:c r="F940" s="12"/>
    </x:row>
    <x:row r="941" ht="14.25" customHeight="1">
      <x:c r="F941" s="12"/>
    </x:row>
    <x:row r="942" ht="14.25" customHeight="1">
      <x:c r="F942" s="12"/>
    </x:row>
    <x:row r="943" ht="14.25" customHeight="1">
      <x:c r="F943" s="12"/>
    </x:row>
    <x:row r="944" ht="14.25" customHeight="1">
      <x:c r="F944" s="12"/>
    </x:row>
    <x:row r="945" ht="14.25" customHeight="1">
      <x:c r="F945" s="12"/>
    </x:row>
    <x:row r="946" ht="14.25" customHeight="1">
      <x:c r="F946" s="12"/>
    </x:row>
    <x:row r="947" ht="14.25" customHeight="1">
      <x:c r="F947" s="12"/>
    </x:row>
    <x:row r="948" ht="14.25" customHeight="1">
      <x:c r="F948" s="12"/>
    </x:row>
    <x:row r="949" ht="14.25" customHeight="1">
      <x:c r="F949" s="12"/>
    </x:row>
    <x:row r="950" ht="14.25" customHeight="1">
      <x:c r="F950" s="12"/>
    </x:row>
    <x:row r="951" ht="14.25" customHeight="1">
      <x:c r="F951" s="12"/>
    </x:row>
    <x:row r="952" ht="14.25" customHeight="1">
      <x:c r="F952" s="12"/>
    </x:row>
    <x:row r="953" ht="14.25" customHeight="1">
      <x:c r="F953" s="12"/>
    </x:row>
    <x:row r="954" ht="14.25" customHeight="1">
      <x:c r="F954" s="12"/>
    </x:row>
    <x:row r="955" ht="14.25" customHeight="1">
      <x:c r="F955" s="12"/>
    </x:row>
    <x:row r="956" ht="14.25" customHeight="1">
      <x:c r="F956" s="12"/>
    </x:row>
    <x:row r="957" ht="14.25" customHeight="1">
      <x:c r="F957" s="12"/>
    </x:row>
    <x:row r="958" ht="14.25" customHeight="1">
      <x:c r="F958" s="12"/>
    </x:row>
    <x:row r="959" ht="14.25" customHeight="1">
      <x:c r="F959" s="12"/>
    </x:row>
    <x:row r="960" ht="14.25" customHeight="1">
      <x:c r="F960" s="12"/>
    </x:row>
    <x:row r="961" ht="14.25" customHeight="1">
      <x:c r="F961" s="12"/>
    </x:row>
    <x:row r="962" ht="14.25" customHeight="1">
      <x:c r="F962" s="12"/>
    </x:row>
    <x:row r="963" ht="14.25" customHeight="1">
      <x:c r="F963" s="12"/>
    </x:row>
    <x:row r="964" ht="14.25" customHeight="1">
      <x:c r="F964" s="12"/>
    </x:row>
    <x:row r="965" ht="14.25" customHeight="1">
      <x:c r="F965" s="12"/>
    </x:row>
    <x:row r="966" ht="14.25" customHeight="1">
      <x:c r="F966" s="12"/>
    </x:row>
    <x:row r="967" ht="14.25" customHeight="1">
      <x:c r="F967" s="12"/>
    </x:row>
    <x:row r="968" ht="14.25" customHeight="1">
      <x:c r="F968" s="12"/>
    </x:row>
    <x:row r="969" ht="14.25" customHeight="1">
      <x:c r="F969" s="12"/>
    </x:row>
    <x:row r="970" ht="14.25" customHeight="1">
      <x:c r="F970" s="12"/>
    </x:row>
    <x:row r="971" ht="14.25" customHeight="1">
      <x:c r="F971" s="12"/>
    </x:row>
    <x:row r="972" ht="14.25" customHeight="1">
      <x:c r="F972" s="12"/>
    </x:row>
    <x:row r="973" ht="14.25" customHeight="1">
      <x:c r="F973" s="12"/>
    </x:row>
    <x:row r="974" ht="14.25" customHeight="1">
      <x:c r="F974" s="12"/>
    </x:row>
    <x:row r="975" ht="14.25" customHeight="1">
      <x:c r="F975" s="12"/>
    </x:row>
    <x:row r="976" ht="14.25" customHeight="1">
      <x:c r="F976" s="12"/>
    </x:row>
    <x:row r="977" ht="14.25" customHeight="1">
      <x:c r="F977" s="12"/>
    </x:row>
    <x:row r="978" ht="14.25" customHeight="1">
      <x:c r="F978" s="12"/>
    </x:row>
    <x:row r="979" ht="14.25" customHeight="1">
      <x:c r="F979" s="12"/>
    </x:row>
    <x:row r="980" ht="14.25" customHeight="1">
      <x:c r="F980" s="12"/>
    </x:row>
    <x:row r="981" ht="14.25" customHeight="1">
      <x:c r="F981" s="12"/>
    </x:row>
    <x:row r="982" ht="14.25" customHeight="1">
      <x:c r="F982" s="12"/>
    </x:row>
    <x:row r="983" ht="14.25" customHeight="1">
      <x:c r="F983" s="12"/>
    </x:row>
    <x:row r="984" ht="14.25" customHeight="1">
      <x:c r="F984" s="12"/>
    </x:row>
    <x:row r="985" ht="14.25" customHeight="1">
      <x:c r="F985" s="12"/>
    </x:row>
    <x:row r="986" ht="14.25" customHeight="1">
      <x:c r="F986" s="12"/>
    </x:row>
    <x:row r="987" ht="14.25" customHeight="1">
      <x:c r="F987" s="12"/>
    </x:row>
    <x:row r="988" ht="14.25" customHeight="1">
      <x:c r="F988" s="12"/>
    </x:row>
    <x:row r="989" ht="14.25" customHeight="1">
      <x:c r="F989" s="12"/>
    </x:row>
    <x:row r="990" ht="14.25" customHeight="1">
      <x:c r="F990" s="12"/>
    </x:row>
    <x:row r="991" ht="14.25" customHeight="1">
      <x:c r="F991" s="12"/>
    </x:row>
    <x:row r="992" ht="14.25" customHeight="1">
      <x:c r="F992" s="12"/>
    </x:row>
    <x:row r="993" ht="14.25" customHeight="1">
      <x:c r="F993" s="12"/>
    </x:row>
    <x:row r="994" ht="14.25" customHeight="1">
      <x:c r="F994" s="12"/>
    </x:row>
    <x:row r="995" ht="14.25" customHeight="1">
      <x:c r="F995" s="12"/>
    </x:row>
    <x:row r="996" ht="14.25" customHeight="1">
      <x:c r="F996" s="12"/>
    </x:row>
    <x:row r="997" ht="14.25" customHeight="1">
      <x:c r="F997" s="12"/>
    </x:row>
    <x:row r="998" ht="14.25" customHeight="1">
      <x:c r="F998" s="12"/>
    </x:row>
    <x:row r="999" ht="14.25" customHeight="1">
      <x:c r="F999" s="12"/>
    </x:row>
    <x:row r="1000" ht="14.25" customHeight="1">
      <x:c r="F1000" s="12"/>
    </x:row>
  </x:sheetData>
  <x:mergeCells>
    <x:mergeCell ref="A1:U1"/>
    <x:mergeCell ref="A2:U2"/>
    <x:mergeCell ref="A4:C4"/>
    <x:mergeCell ref="I4:N4"/>
    <x:mergeCell ref="J5:N5"/>
    <x:mergeCell ref="J6:N6"/>
    <x:mergeCell ref="A13:G13"/>
    <x:mergeCell ref="A15:G15"/>
    <x:mergeCell ref="I15:P15"/>
    <x:mergeCell ref="A42:G42"/>
    <x:mergeCell ref="I42:O42"/>
    <x:mergeCell ref="A64:G64"/>
    <x:mergeCell ref="I64:O64"/>
    <x:mergeCell ref="I86:O86"/>
    <x:mergeCell ref="A174:G174"/>
    <x:mergeCell ref="I174:O174"/>
    <x:mergeCell ref="A198:K198"/>
    <x:mergeCell ref="A208:D208"/>
    <x:mergeCell ref="A86:G86"/>
    <x:mergeCell ref="A108:G108"/>
    <x:mergeCell ref="I108:O108"/>
    <x:mergeCell ref="A130:G130"/>
    <x:mergeCell ref="I130:O130"/>
    <x:mergeCell ref="A152:G152"/>
    <x:mergeCell ref="I152:O152"/>
  </x:mergeCells>
  <x:pageMargins left="0.7" right="0.7" top="0.75" bottom="0.75" header="0.3" footer="0.3"/>
</x:worksheet>
</file>